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575372\Desktop\"/>
    </mc:Choice>
  </mc:AlternateContent>
  <xr:revisionPtr revIDLastSave="0" documentId="13_ncr:1_{15C435B4-F309-4F73-8B32-D01A8673D95C}" xr6:coauthVersionLast="36" xr6:coauthVersionMax="46" xr10:uidLastSave="{00000000-0000-0000-0000-000000000000}"/>
  <bookViews>
    <workbookView xWindow="-110" yWindow="-110" windowWidth="23260" windowHeight="12580" xr2:uid="{5A09F380-706F-49A9-A3C7-986E6E122DDE}"/>
  </bookViews>
  <sheets>
    <sheet name="不適合分析" sheetId="1" r:id="rId1"/>
    <sheet name="グラフ用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2" l="1"/>
  <c r="D53" i="2"/>
  <c r="B16" i="1"/>
  <c r="D6" i="2"/>
  <c r="E6" i="2"/>
  <c r="D7" i="2"/>
  <c r="E7" i="2"/>
  <c r="D8" i="2"/>
  <c r="E8" i="2"/>
  <c r="E5" i="2"/>
  <c r="D5" i="2"/>
  <c r="F9" i="2"/>
  <c r="G9" i="2"/>
  <c r="H9" i="2"/>
  <c r="I9" i="2"/>
  <c r="J9" i="2"/>
  <c r="K9" i="2"/>
  <c r="C53" i="2"/>
  <c r="C54" i="2" s="1"/>
  <c r="E53" i="2"/>
  <c r="F53" i="2"/>
  <c r="G53" i="2"/>
  <c r="H53" i="2"/>
  <c r="I53" i="2"/>
  <c r="J53" i="2"/>
  <c r="K53" i="2"/>
  <c r="L53" i="2"/>
  <c r="L30" i="2"/>
  <c r="K30" i="2"/>
  <c r="J30" i="2"/>
  <c r="I30" i="2"/>
  <c r="H30" i="2"/>
  <c r="G16" i="2"/>
  <c r="G17" i="2" s="1"/>
  <c r="G18" i="2" s="1"/>
  <c r="G19" i="2" s="1"/>
  <c r="G20" i="2" s="1"/>
  <c r="G21" i="2" s="1"/>
  <c r="G22" i="2" s="1"/>
  <c r="G23" i="2" s="1"/>
  <c r="G24" i="2" s="1"/>
  <c r="G25" i="2" s="1"/>
  <c r="E17" i="2"/>
  <c r="B28" i="1"/>
  <c r="B29" i="1"/>
  <c r="B30" i="1"/>
  <c r="B31" i="1"/>
  <c r="B27" i="1"/>
  <c r="B26" i="1"/>
  <c r="B18" i="1"/>
  <c r="B19" i="1"/>
  <c r="B20" i="1"/>
  <c r="B21" i="1"/>
  <c r="B17" i="1"/>
  <c r="J17" i="2"/>
  <c r="J25" i="2"/>
  <c r="G30" i="2"/>
  <c r="F30" i="2"/>
  <c r="E30" i="2"/>
  <c r="D30" i="2"/>
  <c r="C30" i="2"/>
  <c r="J18" i="2"/>
  <c r="J19" i="2"/>
  <c r="J20" i="2"/>
  <c r="J21" i="2"/>
  <c r="J22" i="2"/>
  <c r="J23" i="2"/>
  <c r="J24" i="2"/>
  <c r="J16" i="2"/>
  <c r="E19" i="2"/>
  <c r="E20" i="2"/>
  <c r="E21" i="2"/>
  <c r="E22" i="2"/>
  <c r="E23" i="2"/>
  <c r="E24" i="2"/>
  <c r="E25" i="2"/>
  <c r="E18" i="2"/>
  <c r="E16" i="2"/>
  <c r="E9" i="2" l="1"/>
  <c r="D9" i="2"/>
  <c r="D54" i="2"/>
  <c r="F54" i="2" s="1"/>
  <c r="G54" i="2" s="1"/>
  <c r="H54" i="2" s="1"/>
  <c r="I54" i="2" s="1"/>
  <c r="J54" i="2" s="1"/>
  <c r="K54" i="2" s="1"/>
  <c r="L54" i="2" s="1"/>
  <c r="F16" i="2"/>
  <c r="F17" i="2" s="1"/>
  <c r="F18" i="2" s="1"/>
  <c r="F19" i="2" s="1"/>
  <c r="F20" i="2" s="1"/>
  <c r="F21" i="2" s="1"/>
  <c r="F22" i="2" s="1"/>
  <c r="F23" i="2" s="1"/>
  <c r="C6" i="2"/>
  <c r="C8" i="2"/>
  <c r="C7" i="2"/>
  <c r="C5" i="2"/>
  <c r="C9" i="2" l="1"/>
  <c r="F24" i="2"/>
  <c r="F25" i="2" l="1"/>
</calcChain>
</file>

<file path=xl/sharedStrings.xml><?xml version="1.0" encoding="utf-8"?>
<sst xmlns="http://schemas.openxmlformats.org/spreadsheetml/2006/main" count="109" uniqueCount="84">
  <si>
    <t>Customer</t>
    <phoneticPr fontId="1"/>
  </si>
  <si>
    <t>Project</t>
    <phoneticPr fontId="1"/>
  </si>
  <si>
    <t>Product code</t>
    <phoneticPr fontId="1"/>
  </si>
  <si>
    <t>機能実装完了</t>
    <rPh sb="0" eb="2">
      <t>キノウ</t>
    </rPh>
    <rPh sb="2" eb="4">
      <t>ジッソウ</t>
    </rPh>
    <rPh sb="4" eb="6">
      <t>カンリョウ</t>
    </rPh>
    <phoneticPr fontId="1"/>
  </si>
  <si>
    <t>最終リリース</t>
    <rPh sb="0" eb="2">
      <t>サイシュウ</t>
    </rPh>
    <phoneticPr fontId="1"/>
  </si>
  <si>
    <t>総件数</t>
    <phoneticPr fontId="2"/>
  </si>
  <si>
    <t>成果物監査</t>
    <phoneticPr fontId="2"/>
  </si>
  <si>
    <t>プロセス監査</t>
    <phoneticPr fontId="2"/>
  </si>
  <si>
    <t>Total</t>
    <phoneticPr fontId="2"/>
  </si>
  <si>
    <t>Open</t>
    <phoneticPr fontId="2"/>
  </si>
  <si>
    <t>Close</t>
    <phoneticPr fontId="2"/>
  </si>
  <si>
    <t>是正・予防</t>
    <phoneticPr fontId="2"/>
  </si>
  <si>
    <t>Rank</t>
    <phoneticPr fontId="2"/>
  </si>
  <si>
    <t>不適合件数</t>
    <phoneticPr fontId="2"/>
  </si>
  <si>
    <t>Version</t>
    <phoneticPr fontId="2"/>
  </si>
  <si>
    <t>プロセス</t>
    <phoneticPr fontId="2"/>
  </si>
  <si>
    <t>Version</t>
    <phoneticPr fontId="1"/>
  </si>
  <si>
    <t>Ver毎不適合件数</t>
    <rPh sb="3" eb="4">
      <t>ゴト</t>
    </rPh>
    <rPh sb="4" eb="7">
      <t>フテキゴウ</t>
    </rPh>
    <rPh sb="7" eb="9">
      <t>ケンスウ</t>
    </rPh>
    <phoneticPr fontId="1"/>
  </si>
  <si>
    <t>打上件数</t>
    <rPh sb="0" eb="2">
      <t>ウチアゲ</t>
    </rPh>
    <rPh sb="2" eb="4">
      <t>ケンスウ</t>
    </rPh>
    <phoneticPr fontId="2"/>
  </si>
  <si>
    <t>Close件数</t>
    <rPh sb="5" eb="7">
      <t>ケンスウ</t>
    </rPh>
    <phoneticPr fontId="2"/>
  </si>
  <si>
    <t>累計打上件数</t>
    <rPh sb="0" eb="2">
      <t>ルイケイ</t>
    </rPh>
    <rPh sb="2" eb="4">
      <t>ウチアゲ</t>
    </rPh>
    <rPh sb="4" eb="6">
      <t>ケンスウ</t>
    </rPh>
    <phoneticPr fontId="2"/>
  </si>
  <si>
    <t>累計Close件数</t>
    <rPh sb="0" eb="2">
      <t>ルイケイ</t>
    </rPh>
    <rPh sb="7" eb="9">
      <t>ケンスウ</t>
    </rPh>
    <phoneticPr fontId="2"/>
  </si>
  <si>
    <t>ｘｘｘｘ</t>
    <phoneticPr fontId="1"/>
  </si>
  <si>
    <t>【不適合打上/処理件数】</t>
    <phoneticPr fontId="1"/>
  </si>
  <si>
    <t>Open件数</t>
    <rPh sb="4" eb="6">
      <t>ケンスウ</t>
    </rPh>
    <phoneticPr fontId="2"/>
  </si>
  <si>
    <t>【成果物監査の不適合件数】</t>
    <phoneticPr fontId="1"/>
  </si>
  <si>
    <t>【プロセス監査の不適合件数】</t>
    <phoneticPr fontId="1"/>
  </si>
  <si>
    <t>【成果物監査の不適合件数】</t>
    <rPh sb="1" eb="4">
      <t>セイカブツ</t>
    </rPh>
    <rPh sb="4" eb="6">
      <t>カンサ</t>
    </rPh>
    <rPh sb="7" eb="10">
      <t>フテキゴウ</t>
    </rPh>
    <rPh sb="10" eb="12">
      <t>ケンスウ</t>
    </rPh>
    <phoneticPr fontId="1"/>
  </si>
  <si>
    <t>成果物監査不適合件数</t>
    <rPh sb="0" eb="3">
      <t>セイカブツ</t>
    </rPh>
    <rPh sb="3" eb="5">
      <t>カンサ</t>
    </rPh>
    <rPh sb="5" eb="8">
      <t>フテキゴウ</t>
    </rPh>
    <rPh sb="8" eb="10">
      <t>ケンスウ</t>
    </rPh>
    <phoneticPr fontId="2"/>
  </si>
  <si>
    <t>プロセス監査不適合件数</t>
    <rPh sb="4" eb="6">
      <t>カンサ</t>
    </rPh>
    <rPh sb="6" eb="9">
      <t>フテキゴウ</t>
    </rPh>
    <rPh sb="9" eb="11">
      <t>ケンスウ</t>
    </rPh>
    <phoneticPr fontId="2"/>
  </si>
  <si>
    <t>総件数</t>
    <rPh sb="0" eb="2">
      <t>ソウケンスウ</t>
    </rPh>
    <phoneticPr fontId="1"/>
  </si>
  <si>
    <t>Version毎の件数</t>
    <rPh sb="7" eb="8">
      <t>ゴト</t>
    </rPh>
    <rPh sb="9" eb="10">
      <t>ケンスウ</t>
    </rPh>
    <phoneticPr fontId="1"/>
  </si>
  <si>
    <t>累計</t>
    <rPh sb="0" eb="2">
      <t>ルイケイ</t>
    </rPh>
    <phoneticPr fontId="1"/>
  </si>
  <si>
    <t>XXX</t>
    <phoneticPr fontId="1"/>
  </si>
  <si>
    <t>XXX</t>
    <phoneticPr fontId="1"/>
  </si>
  <si>
    <t>ACQ.4</t>
    <phoneticPr fontId="1"/>
  </si>
  <si>
    <t>SPL.1</t>
    <phoneticPr fontId="1"/>
  </si>
  <si>
    <t>SPL.2</t>
    <phoneticPr fontId="1"/>
  </si>
  <si>
    <t>SYS.1</t>
    <phoneticPr fontId="1"/>
  </si>
  <si>
    <t>SYS.2</t>
    <phoneticPr fontId="1"/>
  </si>
  <si>
    <t>SYS.3</t>
  </si>
  <si>
    <t>SYS.4</t>
  </si>
  <si>
    <t>SYS.5</t>
  </si>
  <si>
    <t>SWE.1</t>
    <phoneticPr fontId="1"/>
  </si>
  <si>
    <t>SWE.2</t>
    <phoneticPr fontId="1"/>
  </si>
  <si>
    <t>SWE.3</t>
  </si>
  <si>
    <t>SWE.4</t>
  </si>
  <si>
    <t>SWE.5</t>
  </si>
  <si>
    <t>SWE.6</t>
  </si>
  <si>
    <t>SUP.1</t>
    <phoneticPr fontId="1"/>
  </si>
  <si>
    <t>SUP.8</t>
    <phoneticPr fontId="1"/>
  </si>
  <si>
    <t>SUP.9</t>
    <phoneticPr fontId="1"/>
  </si>
  <si>
    <t>SUP.10</t>
    <phoneticPr fontId="1"/>
  </si>
  <si>
    <t>MAN.3</t>
    <phoneticPr fontId="1"/>
  </si>
  <si>
    <t>MAN.5</t>
    <phoneticPr fontId="1"/>
  </si>
  <si>
    <t>PIM.3</t>
    <phoneticPr fontId="1"/>
  </si>
  <si>
    <t>REU.2</t>
    <phoneticPr fontId="1"/>
  </si>
  <si>
    <t>【 不適合総件数】</t>
    <rPh sb="2" eb="5">
      <t>フテキゴウ</t>
    </rPh>
    <rPh sb="5" eb="8">
      <t>ソウケンスウ</t>
    </rPh>
    <phoneticPr fontId="1"/>
  </si>
  <si>
    <t>Urgent</t>
    <phoneticPr fontId="1"/>
  </si>
  <si>
    <t>High</t>
    <phoneticPr fontId="1"/>
  </si>
  <si>
    <t>Nomal</t>
    <phoneticPr fontId="1"/>
  </si>
  <si>
    <t>Low</t>
    <phoneticPr fontId="1"/>
  </si>
  <si>
    <t>是正/予防不要</t>
    <rPh sb="3" eb="5">
      <t>ヨボウ</t>
    </rPh>
    <phoneticPr fontId="2"/>
  </si>
  <si>
    <t>是正/予防不要</t>
    <rPh sb="0" eb="2">
      <t>ゼセイ</t>
    </rPh>
    <phoneticPr fontId="2"/>
  </si>
  <si>
    <t>Non-conformanceAnalysisReport/不適合分析報告書</t>
    <rPh sb="30" eb="33">
      <t>フテキゴウ</t>
    </rPh>
    <rPh sb="33" eb="35">
      <t>ブンセキ</t>
    </rPh>
    <rPh sb="35" eb="38">
      <t>ホウコクショ</t>
    </rPh>
    <phoneticPr fontId="1"/>
  </si>
  <si>
    <t>1.Project information/プロジェクト情報</t>
    <rPh sb="28" eb="30">
      <t>ジョウホウ</t>
    </rPh>
    <phoneticPr fontId="1"/>
  </si>
  <si>
    <t>2.Audit implementation status results/監査実施状況結果</t>
    <rPh sb="38" eb="40">
      <t>カンサ</t>
    </rPh>
    <rPh sb="40" eb="42">
      <t>ジッシ</t>
    </rPh>
    <rPh sb="42" eb="44">
      <t>ジョウキョウ</t>
    </rPh>
    <rPh sb="44" eb="46">
      <t>ケッカ</t>
    </rPh>
    <phoneticPr fontId="1"/>
  </si>
  <si>
    <t>【Work product audit implementation status/作業成果物監査実施状況】</t>
    <rPh sb="42" eb="44">
      <t>サギョウ</t>
    </rPh>
    <rPh sb="44" eb="47">
      <t>セイカブツ</t>
    </rPh>
    <rPh sb="47" eb="49">
      <t>カンサ</t>
    </rPh>
    <rPh sb="49" eb="51">
      <t>ジッシ</t>
    </rPh>
    <rPh sb="51" eb="53">
      <t>ジョウキョウ</t>
    </rPh>
    <phoneticPr fontId="1"/>
  </si>
  <si>
    <t>○Planned implementation/実施予定</t>
    <rPh sb="24" eb="26">
      <t>ジッシ</t>
    </rPh>
    <rPh sb="26" eb="28">
      <t>ヨテイ</t>
    </rPh>
    <phoneticPr fontId="1"/>
  </si>
  <si>
    <t>●Implemented/実施済</t>
    <rPh sb="13" eb="15">
      <t>ジッシ</t>
    </rPh>
    <rPh sb="15" eb="16">
      <t>スミ</t>
    </rPh>
    <phoneticPr fontId="1"/>
  </si>
  <si>
    <t>×Not implemented/実施なし</t>
    <rPh sb="17" eb="19">
      <t>ジッシ</t>
    </rPh>
    <phoneticPr fontId="1"/>
  </si>
  <si>
    <t>‐No plan/予定なし</t>
    <phoneticPr fontId="1"/>
  </si>
  <si>
    <t>△:Cancel/中止</t>
    <rPh sb="9" eb="11">
      <t>チュウシ</t>
    </rPh>
    <phoneticPr fontId="1"/>
  </si>
  <si>
    <t>Function implementation completed/機能実装完了</t>
    <rPh sb="34" eb="36">
      <t>キノウ</t>
    </rPh>
    <rPh sb="36" eb="38">
      <t>ジッソウ</t>
    </rPh>
    <rPh sb="38" eb="40">
      <t>カンリョウ</t>
    </rPh>
    <phoneticPr fontId="1"/>
  </si>
  <si>
    <t>Final release/最終リリース</t>
    <rPh sb="14" eb="16">
      <t>サイシュウ</t>
    </rPh>
    <phoneticPr fontId="1"/>
  </si>
  <si>
    <t>【Process audit implementation status/プロセス監査実施状況】</t>
    <rPh sb="41" eb="43">
      <t>カンサ</t>
    </rPh>
    <rPh sb="43" eb="45">
      <t>ジッシ</t>
    </rPh>
    <rPh sb="45" eb="47">
      <t>ジョウキョウ</t>
    </rPh>
    <phoneticPr fontId="1"/>
  </si>
  <si>
    <t>3.Non-conformance analysis results/不適合分析結果</t>
    <rPh sb="35" eb="38">
      <t>フテキゴウ</t>
    </rPh>
    <rPh sb="38" eb="40">
      <t>ブンセキ</t>
    </rPh>
    <rPh sb="40" eb="42">
      <t>ケッカ</t>
    </rPh>
    <phoneticPr fontId="1"/>
  </si>
  <si>
    <t>【Total number of non-conformities/不適合総件数】</t>
    <rPh sb="34" eb="37">
      <t>フテキゴウ</t>
    </rPh>
    <rPh sb="37" eb="40">
      <t>ソウケンスウ</t>
    </rPh>
    <phoneticPr fontId="1"/>
  </si>
  <si>
    <t>【Total number of non-conformities Analysis results/不適合総件数　分析結果】</t>
    <rPh sb="51" eb="54">
      <t>フテキゴウ</t>
    </rPh>
    <rPh sb="54" eb="57">
      <t>ソウケンスウ</t>
    </rPh>
    <rPh sb="58" eb="60">
      <t>ブンセキ</t>
    </rPh>
    <rPh sb="60" eb="62">
      <t>ケッカ</t>
    </rPh>
    <phoneticPr fontId="1"/>
  </si>
  <si>
    <t>【Number of non-conformance launches/processing cases/不適合打上/処理件数】</t>
    <rPh sb="53" eb="56">
      <t>フテキゴウ</t>
    </rPh>
    <rPh sb="56" eb="58">
      <t>ウチアゲ</t>
    </rPh>
    <rPh sb="59" eb="61">
      <t>ショリ</t>
    </rPh>
    <rPh sb="61" eb="63">
      <t>ケンスウ</t>
    </rPh>
    <phoneticPr fontId="1"/>
  </si>
  <si>
    <t>【Non-conformance launches/Number of processed cases Analysis results/不適合打上/処理件数　分析結果】</t>
    <rPh sb="80" eb="82">
      <t>ブンセキ</t>
    </rPh>
    <rPh sb="82" eb="84">
      <t>ケッカ</t>
    </rPh>
    <phoneticPr fontId="1"/>
  </si>
  <si>
    <t>【Number of non-conformance in work product audit Analysis results/成果物監査の不適合件数　分析結果】</t>
    <rPh sb="78" eb="80">
      <t>ブンセキ</t>
    </rPh>
    <rPh sb="80" eb="82">
      <t>ケッカ</t>
    </rPh>
    <phoneticPr fontId="1"/>
  </si>
  <si>
    <t>【Number of process audit nonconformance/プロセス監査の不適合件数】</t>
    <rPh sb="44" eb="46">
      <t>カンサ</t>
    </rPh>
    <rPh sb="47" eb="50">
      <t>フテキゴウ</t>
    </rPh>
    <rPh sb="50" eb="52">
      <t>ケンスウ</t>
    </rPh>
    <phoneticPr fontId="1"/>
  </si>
  <si>
    <t>【Number of process audit nonconformance Analysis results/プロセス監査の不適合件数　分析結果】</t>
    <rPh sb="70" eb="72">
      <t>ブンセキ</t>
    </rPh>
    <rPh sb="72" eb="74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</si>
</sst>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0.5"/>
      <name val="Meiryo UI"/>
      <family val="3"/>
      <charset val="128"/>
    </font>
    <font>
      <b/>
      <sz val="20"/>
      <name val="Meiryo UI"/>
      <family val="3"/>
      <charset val="128"/>
    </font>
    <font>
      <b/>
      <sz val="10.5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8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indexed="64"/>
      </left>
      <right/>
      <top style="thick">
        <color auto="1"/>
      </top>
      <bottom style="thick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6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5" xfId="0" applyFont="1" applyBorder="1">
      <alignment vertical="center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0" fontId="5" fillId="0" borderId="5" xfId="0" applyFont="1" applyBorder="1" applyAlignment="1">
      <alignment horizontal="left" vertical="top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65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>
      <alignment vertical="center"/>
    </xf>
    <xf numFmtId="0" fontId="3" fillId="0" borderId="62" xfId="0" applyFont="1" applyBorder="1" applyAlignment="1"/>
    <xf numFmtId="0" fontId="3" fillId="0" borderId="0" xfId="0" applyFont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5" fillId="0" borderId="21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3" fillId="0" borderId="61" xfId="0" applyFont="1" applyFill="1" applyBorder="1" applyAlignment="1"/>
    <xf numFmtId="0" fontId="3" fillId="3" borderId="27" xfId="0" applyFont="1" applyFill="1" applyBorder="1" applyAlignment="1"/>
    <xf numFmtId="0" fontId="3" fillId="3" borderId="28" xfId="0" applyFont="1" applyFill="1" applyBorder="1" applyAlignment="1"/>
    <xf numFmtId="0" fontId="3" fillId="3" borderId="29" xfId="0" applyFont="1" applyFill="1" applyBorder="1" applyAlignment="1"/>
    <xf numFmtId="0" fontId="3" fillId="0" borderId="24" xfId="0" applyFont="1" applyFill="1" applyBorder="1" applyAlignment="1"/>
    <xf numFmtId="0" fontId="3" fillId="0" borderId="34" xfId="0" applyFont="1" applyFill="1" applyBorder="1" applyAlignment="1"/>
    <xf numFmtId="0" fontId="3" fillId="3" borderId="7" xfId="0" applyFont="1" applyFill="1" applyBorder="1" applyAlignment="1"/>
    <xf numFmtId="0" fontId="3" fillId="3" borderId="15" xfId="0" applyFont="1" applyFill="1" applyBorder="1" applyAlignment="1"/>
    <xf numFmtId="0" fontId="3" fillId="3" borderId="33" xfId="0" applyFont="1" applyFill="1" applyBorder="1" applyAlignment="1"/>
    <xf numFmtId="0" fontId="3" fillId="3" borderId="34" xfId="0" applyFont="1" applyFill="1" applyBorder="1" applyAlignment="1"/>
    <xf numFmtId="0" fontId="3" fillId="0" borderId="67" xfId="0" applyFont="1" applyBorder="1">
      <alignment vertical="center"/>
    </xf>
    <xf numFmtId="0" fontId="3" fillId="0" borderId="66" xfId="0" applyFont="1" applyBorder="1">
      <alignment vertical="center"/>
    </xf>
    <xf numFmtId="0" fontId="3" fillId="0" borderId="2" xfId="0" applyFont="1" applyBorder="1">
      <alignment vertical="center"/>
    </xf>
    <xf numFmtId="0" fontId="6" fillId="0" borderId="0" xfId="0" applyFont="1" applyAlignment="1"/>
    <xf numFmtId="0" fontId="6" fillId="0" borderId="69" xfId="0" applyFont="1" applyBorder="1" applyAlignment="1"/>
    <xf numFmtId="0" fontId="3" fillId="0" borderId="28" xfId="0" applyFont="1" applyFill="1" applyBorder="1" applyAlignment="1"/>
    <xf numFmtId="0" fontId="3" fillId="0" borderId="29" xfId="0" applyFont="1" applyFill="1" applyBorder="1" applyAlignment="1"/>
    <xf numFmtId="0" fontId="3" fillId="0" borderId="15" xfId="0" applyFont="1" applyFill="1" applyBorder="1" applyAlignment="1"/>
    <xf numFmtId="0" fontId="5" fillId="0" borderId="68" xfId="0" applyFont="1" applyFill="1" applyBorder="1" applyAlignment="1">
      <alignment horizontal="center"/>
    </xf>
    <xf numFmtId="0" fontId="3" fillId="0" borderId="36" xfId="0" applyFont="1" applyFill="1" applyBorder="1" applyAlignment="1"/>
    <xf numFmtId="0" fontId="3" fillId="0" borderId="70" xfId="0" applyFont="1" applyFill="1" applyBorder="1" applyAlignment="1"/>
    <xf numFmtId="0" fontId="3" fillId="0" borderId="71" xfId="0" applyFont="1" applyFill="1" applyBorder="1" applyAlignment="1"/>
    <xf numFmtId="0" fontId="3" fillId="3" borderId="36" xfId="0" applyFont="1" applyFill="1" applyBorder="1" applyAlignment="1"/>
    <xf numFmtId="0" fontId="3" fillId="3" borderId="37" xfId="0" applyFont="1" applyFill="1" applyBorder="1" applyAlignment="1"/>
    <xf numFmtId="0" fontId="3" fillId="3" borderId="38" xfId="0" applyFont="1" applyFill="1" applyBorder="1" applyAlignment="1"/>
    <xf numFmtId="0" fontId="7" fillId="0" borderId="51" xfId="0" applyFont="1" applyBorder="1" applyAlignment="1">
      <alignment horizontal="center" vertical="center"/>
    </xf>
    <xf numFmtId="0" fontId="6" fillId="0" borderId="51" xfId="0" applyFont="1" applyBorder="1" applyAlignment="1"/>
    <xf numFmtId="0" fontId="6" fillId="0" borderId="0" xfId="0" applyFont="1" applyBorder="1" applyAlignment="1"/>
    <xf numFmtId="0" fontId="6" fillId="0" borderId="0" xfId="0" applyFont="1" applyFill="1" applyBorder="1" applyAlignment="1">
      <alignment horizontal="center"/>
    </xf>
    <xf numFmtId="0" fontId="6" fillId="0" borderId="60" xfId="0" applyFont="1" applyBorder="1" applyAlignment="1"/>
    <xf numFmtId="0" fontId="6" fillId="0" borderId="56" xfId="0" applyFont="1" applyBorder="1" applyAlignment="1"/>
    <xf numFmtId="0" fontId="6" fillId="0" borderId="58" xfId="0" applyFont="1" applyBorder="1" applyAlignment="1"/>
    <xf numFmtId="0" fontId="6" fillId="0" borderId="59" xfId="0" applyFont="1" applyBorder="1" applyAlignment="1"/>
    <xf numFmtId="0" fontId="6" fillId="0" borderId="63" xfId="0" applyFont="1" applyBorder="1" applyAlignment="1"/>
    <xf numFmtId="0" fontId="6" fillId="0" borderId="64" xfId="0" applyFont="1" applyBorder="1" applyAlignment="1"/>
    <xf numFmtId="0" fontId="6" fillId="0" borderId="0" xfId="0" applyFont="1" applyFill="1" applyBorder="1" applyAlignment="1"/>
    <xf numFmtId="0" fontId="6" fillId="0" borderId="57" xfId="0" applyFont="1" applyBorder="1" applyAlignment="1"/>
    <xf numFmtId="0" fontId="6" fillId="2" borderId="39" xfId="0" quotePrefix="1" applyFont="1" applyFill="1" applyBorder="1" applyAlignment="1"/>
    <xf numFmtId="0" fontId="6" fillId="3" borderId="40" xfId="0" applyFont="1" applyFill="1" applyBorder="1" applyAlignment="1"/>
    <xf numFmtId="0" fontId="6" fillId="3" borderId="28" xfId="0" applyFont="1" applyFill="1" applyBorder="1" applyAlignment="1"/>
    <xf numFmtId="0" fontId="6" fillId="0" borderId="30" xfId="0" applyFont="1" applyFill="1" applyBorder="1" applyAlignment="1"/>
    <xf numFmtId="0" fontId="6" fillId="0" borderId="27" xfId="0" applyFont="1" applyFill="1" applyBorder="1" applyAlignment="1"/>
    <xf numFmtId="0" fontId="6" fillId="0" borderId="29" xfId="0" applyFont="1" applyFill="1" applyBorder="1" applyAlignment="1"/>
    <xf numFmtId="0" fontId="6" fillId="0" borderId="41" xfId="0" applyFont="1" applyFill="1" applyBorder="1" applyAlignment="1"/>
    <xf numFmtId="0" fontId="6" fillId="2" borderId="46" xfId="0" quotePrefix="1" applyFont="1" applyFill="1" applyBorder="1" applyAlignment="1"/>
    <xf numFmtId="0" fontId="6" fillId="3" borderId="7" xfId="0" applyFont="1" applyFill="1" applyBorder="1" applyAlignment="1"/>
    <xf numFmtId="0" fontId="6" fillId="3" borderId="15" xfId="0" applyFont="1" applyFill="1" applyBorder="1" applyAlignment="1"/>
    <xf numFmtId="0" fontId="6" fillId="0" borderId="34" xfId="0" applyFont="1" applyFill="1" applyBorder="1" applyAlignment="1"/>
    <xf numFmtId="0" fontId="6" fillId="0" borderId="33" xfId="0" applyFont="1" applyFill="1" applyBorder="1" applyAlignment="1"/>
    <xf numFmtId="0" fontId="6" fillId="0" borderId="44" xfId="0" applyFont="1" applyFill="1" applyBorder="1" applyAlignment="1"/>
    <xf numFmtId="0" fontId="6" fillId="0" borderId="32" xfId="0" applyFont="1" applyFill="1" applyBorder="1" applyAlignment="1"/>
    <xf numFmtId="0" fontId="6" fillId="0" borderId="26" xfId="0" applyFont="1" applyFill="1" applyBorder="1" applyAlignment="1"/>
    <xf numFmtId="0" fontId="6" fillId="0" borderId="46" xfId="0" applyFont="1" applyFill="1" applyBorder="1" applyAlignment="1"/>
    <xf numFmtId="0" fontId="6" fillId="0" borderId="57" xfId="0" applyFont="1" applyFill="1" applyBorder="1" applyAlignment="1"/>
    <xf numFmtId="0" fontId="6" fillId="2" borderId="42" xfId="0" quotePrefix="1" applyFont="1" applyFill="1" applyBorder="1" applyAlignment="1"/>
    <xf numFmtId="0" fontId="6" fillId="3" borderId="43" xfId="0" applyFont="1" applyFill="1" applyBorder="1" applyAlignment="1"/>
    <xf numFmtId="0" fontId="6" fillId="3" borderId="37" xfId="0" applyFont="1" applyFill="1" applyBorder="1" applyAlignment="1"/>
    <xf numFmtId="0" fontId="6" fillId="0" borderId="38" xfId="0" applyFont="1" applyFill="1" applyBorder="1" applyAlignment="1"/>
    <xf numFmtId="0" fontId="6" fillId="0" borderId="36" xfId="0" applyFont="1" applyFill="1" applyBorder="1" applyAlignment="1"/>
    <xf numFmtId="0" fontId="6" fillId="0" borderId="11" xfId="0" applyFont="1" applyBorder="1" applyAlignment="1"/>
    <xf numFmtId="0" fontId="6" fillId="0" borderId="0" xfId="0" quotePrefix="1" applyFont="1" applyAlignment="1"/>
    <xf numFmtId="0" fontId="6" fillId="0" borderId="13" xfId="0" applyFont="1" applyBorder="1" applyAlignment="1"/>
    <xf numFmtId="0" fontId="6" fillId="0" borderId="23" xfId="0" applyFont="1" applyBorder="1" applyAlignment="1"/>
    <xf numFmtId="0" fontId="6" fillId="0" borderId="10" xfId="0" applyFont="1" applyBorder="1" applyAlignment="1"/>
    <xf numFmtId="0" fontId="6" fillId="0" borderId="30" xfId="0" applyFont="1" applyBorder="1" applyAlignment="1"/>
    <xf numFmtId="0" fontId="6" fillId="4" borderId="54" xfId="0" applyFont="1" applyFill="1" applyBorder="1" applyAlignment="1"/>
    <xf numFmtId="0" fontId="6" fillId="3" borderId="27" xfId="0" applyFont="1" applyFill="1" applyBorder="1" applyAlignment="1"/>
    <xf numFmtId="0" fontId="6" fillId="3" borderId="29" xfId="0" applyFont="1" applyFill="1" applyBorder="1" applyAlignment="1"/>
    <xf numFmtId="0" fontId="6" fillId="4" borderId="31" xfId="0" applyFont="1" applyFill="1" applyBorder="1" applyAlignment="1"/>
    <xf numFmtId="0" fontId="6" fillId="3" borderId="33" xfId="0" applyFont="1" applyFill="1" applyBorder="1" applyAlignment="1"/>
    <xf numFmtId="0" fontId="6" fillId="3" borderId="34" xfId="0" applyFont="1" applyFill="1" applyBorder="1" applyAlignment="1"/>
    <xf numFmtId="0" fontId="6" fillId="4" borderId="46" xfId="0" applyFont="1" applyFill="1" applyBorder="1" applyAlignment="1"/>
    <xf numFmtId="0" fontId="6" fillId="3" borderId="24" xfId="0" applyFont="1" applyFill="1" applyBorder="1" applyAlignment="1"/>
    <xf numFmtId="0" fontId="6" fillId="3" borderId="25" xfId="0" applyFont="1" applyFill="1" applyBorder="1" applyAlignment="1"/>
    <xf numFmtId="0" fontId="6" fillId="3" borderId="19" xfId="0" applyFont="1" applyFill="1" applyBorder="1" applyAlignment="1"/>
    <xf numFmtId="0" fontId="6" fillId="3" borderId="26" xfId="0" applyFont="1" applyFill="1" applyBorder="1" applyAlignment="1"/>
    <xf numFmtId="0" fontId="6" fillId="0" borderId="51" xfId="0" quotePrefix="1" applyFont="1" applyBorder="1" applyAlignment="1"/>
    <xf numFmtId="0" fontId="6" fillId="0" borderId="9" xfId="0" applyFont="1" applyBorder="1" applyAlignment="1"/>
    <xf numFmtId="0" fontId="5" fillId="0" borderId="4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72" xfId="0" applyFont="1" applyFill="1" applyBorder="1" applyAlignment="1">
      <alignment horizontal="center"/>
    </xf>
    <xf numFmtId="0" fontId="5" fillId="0" borderId="39" xfId="0" applyFont="1" applyFill="1" applyBorder="1" applyAlignment="1">
      <alignment horizontal="center"/>
    </xf>
    <xf numFmtId="0" fontId="5" fillId="0" borderId="38" xfId="0" applyFont="1" applyFill="1" applyBorder="1" applyAlignme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3" fillId="3" borderId="16" xfId="0" applyFont="1" applyFill="1" applyBorder="1" applyAlignment="1">
      <alignment horizontal="left" vertical="top"/>
    </xf>
    <xf numFmtId="0" fontId="3" fillId="3" borderId="17" xfId="0" applyFont="1" applyFill="1" applyBorder="1" applyAlignment="1">
      <alignment horizontal="left" vertical="top"/>
    </xf>
    <xf numFmtId="0" fontId="3" fillId="3" borderId="18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0" fontId="6" fillId="3" borderId="49" xfId="0" applyFont="1" applyFill="1" applyBorder="1" applyAlignment="1">
      <alignment horizontal="center"/>
    </xf>
    <xf numFmtId="0" fontId="6" fillId="3" borderId="45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50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73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74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成果物監査の不適合件数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機能実装完了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グラフ用!$J$15:$J$25</c15:sqref>
                  </c15:fullRef>
                </c:ext>
              </c:extLst>
              <c:f>グラフ用!$J$16:$J$25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グラフ用!$K$15:$K$25</c15:sqref>
                  </c15:fullRef>
                </c:ext>
              </c:extLst>
              <c:f>グラフ用!$K$16:$K$25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71E2-4446-A258-76D9C1145320}"/>
            </c:ext>
          </c:extLst>
        </c:ser>
        <c:ser>
          <c:idx val="2"/>
          <c:order val="2"/>
          <c:tx>
            <c:v>最終リリース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グラフ用!$J$15:$J$25</c15:sqref>
                  </c15:fullRef>
                </c:ext>
              </c:extLst>
              <c:f>グラフ用!$J$16:$J$25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グラフ用!$M$15:$M$25</c15:sqref>
                  </c15:fullRef>
                </c:ext>
              </c:extLst>
              <c:f>グラフ用!$M$16:$M$25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71E2-4446-A258-76D9C1145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6324808"/>
        <c:axId val="68632612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グラフ用!$J$15:$J$25</c15:sqref>
                        </c15:fullRef>
                        <c15:formulaRef>
                          <c15:sqref>グラフ用!$J$16:$J$25</c15:sqref>
                        </c15:formulaRef>
                      </c:ext>
                    </c:extLst>
                    <c:strCache>
                      <c:ptCount val="10"/>
                      <c:pt idx="0">
                        <c:v>XXX</c:v>
                      </c:pt>
                      <c:pt idx="1">
                        <c:v>XXX</c:v>
                      </c:pt>
                      <c:pt idx="2">
                        <c:v>XXX</c:v>
                      </c:pt>
                      <c:pt idx="3">
                        <c:v>XXX</c:v>
                      </c:pt>
                      <c:pt idx="4">
                        <c:v>XXX</c:v>
                      </c:pt>
                      <c:pt idx="5">
                        <c:v>XXX</c:v>
                      </c:pt>
                      <c:pt idx="6">
                        <c:v>XXX</c:v>
                      </c:pt>
                      <c:pt idx="7">
                        <c:v>XXX</c:v>
                      </c:pt>
                      <c:pt idx="8">
                        <c:v>XXX</c:v>
                      </c:pt>
                      <c:pt idx="9">
                        <c:v>XXX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グラフ用!$L$15:$L$25</c15:sqref>
                        </c15:fullRef>
                        <c15:formulaRef>
                          <c15:sqref>グラフ用!$L$16:$L$25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1E2-4446-A258-76D9C1145320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グラフ用!$J$15:$J$25</c15:sqref>
                        </c15:fullRef>
                        <c15:formulaRef>
                          <c15:sqref>グラフ用!$J$16:$J$25</c15:sqref>
                        </c15:formulaRef>
                      </c:ext>
                    </c:extLst>
                    <c:strCache>
                      <c:ptCount val="10"/>
                      <c:pt idx="0">
                        <c:v>XXX</c:v>
                      </c:pt>
                      <c:pt idx="1">
                        <c:v>XXX</c:v>
                      </c:pt>
                      <c:pt idx="2">
                        <c:v>XXX</c:v>
                      </c:pt>
                      <c:pt idx="3">
                        <c:v>XXX</c:v>
                      </c:pt>
                      <c:pt idx="4">
                        <c:v>XXX</c:v>
                      </c:pt>
                      <c:pt idx="5">
                        <c:v>XXX</c:v>
                      </c:pt>
                      <c:pt idx="6">
                        <c:v>XXX</c:v>
                      </c:pt>
                      <c:pt idx="7">
                        <c:v>XXX</c:v>
                      </c:pt>
                      <c:pt idx="8">
                        <c:v>XXX</c:v>
                      </c:pt>
                      <c:pt idx="9">
                        <c:v>XXX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グラフ用!$N$15:$N$25</c15:sqref>
                        </c15:fullRef>
                        <c15:formulaRef>
                          <c15:sqref>グラフ用!$N$16:$N$25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1E2-4446-A258-76D9C1145320}"/>
                  </c:ext>
                </c:extLst>
              </c15:ser>
            </c15:filteredBarSeries>
          </c:ext>
        </c:extLst>
      </c:barChart>
      <c:catAx>
        <c:axId val="686324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6326120"/>
        <c:crosses val="autoZero"/>
        <c:auto val="1"/>
        <c:lblAlgn val="ctr"/>
        <c:lblOffset val="100"/>
        <c:noMultiLvlLbl val="0"/>
      </c:catAx>
      <c:valAx>
        <c:axId val="68632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6324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不適合打上</a:t>
            </a:r>
            <a:r>
              <a:rPr lang="en-US" altLang="ja-JP"/>
              <a:t>/</a:t>
            </a:r>
            <a:r>
              <a:rPr lang="ja-JP" altLang="en-US"/>
              <a:t>処理件数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グラフ用!$C$15</c:f>
              <c:strCache>
                <c:ptCount val="1"/>
                <c:pt idx="0">
                  <c:v>Open件数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グラフ用!$B$16:$B$25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グラフ用!$C$16:$C$25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5915-44A6-9E64-6447F240E543}"/>
            </c:ext>
          </c:extLst>
        </c:ser>
        <c:ser>
          <c:idx val="1"/>
          <c:order val="1"/>
          <c:tx>
            <c:strRef>
              <c:f>グラフ用!$D$15</c:f>
              <c:strCache>
                <c:ptCount val="1"/>
                <c:pt idx="0">
                  <c:v>Close件数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グラフ用!$B$16:$B$25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グラフ用!$D$16:$D$25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5915-44A6-9E64-6447F240E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53211328"/>
        <c:axId val="553211656"/>
      </c:barChart>
      <c:lineChart>
        <c:grouping val="standard"/>
        <c:varyColors val="0"/>
        <c:ser>
          <c:idx val="3"/>
          <c:order val="2"/>
          <c:tx>
            <c:strRef>
              <c:f>グラフ用!$F$15</c:f>
              <c:strCache>
                <c:ptCount val="1"/>
                <c:pt idx="0">
                  <c:v>累計打上件数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グラフ用!$B$16:$B$25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グラフ用!$F$16:$F$25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15-44A6-9E64-6447F240E543}"/>
            </c:ext>
          </c:extLst>
        </c:ser>
        <c:ser>
          <c:idx val="4"/>
          <c:order val="3"/>
          <c:tx>
            <c:strRef>
              <c:f>グラフ用!$G$15</c:f>
              <c:strCache>
                <c:ptCount val="1"/>
                <c:pt idx="0">
                  <c:v>累計Close件数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グラフ用!$B$16:$B$25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グラフ用!$G$16:$G$25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15-44A6-9E64-6447F240E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211328"/>
        <c:axId val="553211656"/>
      </c:lineChart>
      <c:catAx>
        <c:axId val="55321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3211656"/>
        <c:crosses val="autoZero"/>
        <c:auto val="1"/>
        <c:lblAlgn val="ctr"/>
        <c:lblOffset val="100"/>
        <c:noMultiLvlLbl val="0"/>
      </c:catAx>
      <c:valAx>
        <c:axId val="55321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321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プロセス監査の不適合件数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グラフ用!$B$31</c:f>
              <c:strCache>
                <c:ptCount val="1"/>
                <c:pt idx="0">
                  <c:v>ACQ.4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グラフ用!$C$31:$L$31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196C-4FA8-A8DE-DAA7D96EB8E1}"/>
            </c:ext>
          </c:extLst>
        </c:ser>
        <c:ser>
          <c:idx val="1"/>
          <c:order val="1"/>
          <c:tx>
            <c:strRef>
              <c:f>グラフ用!$B$32</c:f>
              <c:strCache>
                <c:ptCount val="1"/>
                <c:pt idx="0">
                  <c:v>SPL.1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グラフ用!$C$32:$L$32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196C-4FA8-A8DE-DAA7D96EB8E1}"/>
            </c:ext>
          </c:extLst>
        </c:ser>
        <c:ser>
          <c:idx val="2"/>
          <c:order val="2"/>
          <c:tx>
            <c:strRef>
              <c:f>グラフ用!$B$33</c:f>
              <c:strCache>
                <c:ptCount val="1"/>
                <c:pt idx="0">
                  <c:v>SPL.2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グラフ用!$C$33:$L$33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196C-4FA8-A8DE-DAA7D96EB8E1}"/>
            </c:ext>
          </c:extLst>
        </c:ser>
        <c:ser>
          <c:idx val="3"/>
          <c:order val="3"/>
          <c:tx>
            <c:strRef>
              <c:f>グラフ用!$B$34</c:f>
              <c:strCache>
                <c:ptCount val="1"/>
                <c:pt idx="0">
                  <c:v>SYS.1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グラフ用!$C$34:$L$34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196C-4FA8-A8DE-DAA7D96EB8E1}"/>
            </c:ext>
          </c:extLst>
        </c:ser>
        <c:ser>
          <c:idx val="4"/>
          <c:order val="4"/>
          <c:tx>
            <c:strRef>
              <c:f>グラフ用!$B$35</c:f>
              <c:strCache>
                <c:ptCount val="1"/>
                <c:pt idx="0">
                  <c:v>SYS.2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グラフ用!$C$35:$L$35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4-196C-4FA8-A8DE-DAA7D96EB8E1}"/>
            </c:ext>
          </c:extLst>
        </c:ser>
        <c:ser>
          <c:idx val="5"/>
          <c:order val="5"/>
          <c:tx>
            <c:strRef>
              <c:f>グラフ用!$B$36</c:f>
              <c:strCache>
                <c:ptCount val="1"/>
                <c:pt idx="0">
                  <c:v>SYS.3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グラフ用!$C$36:$L$36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5-196C-4FA8-A8DE-DAA7D96EB8E1}"/>
            </c:ext>
          </c:extLst>
        </c:ser>
        <c:ser>
          <c:idx val="6"/>
          <c:order val="6"/>
          <c:tx>
            <c:strRef>
              <c:f>グラフ用!$B$37</c:f>
              <c:strCache>
                <c:ptCount val="1"/>
                <c:pt idx="0">
                  <c:v>SYS.4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グラフ用!$C$37:$L$37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6-196C-4FA8-A8DE-DAA7D96EB8E1}"/>
            </c:ext>
          </c:extLst>
        </c:ser>
        <c:ser>
          <c:idx val="7"/>
          <c:order val="7"/>
          <c:tx>
            <c:strRef>
              <c:f>グラフ用!$B$38</c:f>
              <c:strCache>
                <c:ptCount val="1"/>
                <c:pt idx="0">
                  <c:v>SYS.5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グラフ用!$C$38:$L$38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7-196C-4FA8-A8DE-DAA7D96EB8E1}"/>
            </c:ext>
          </c:extLst>
        </c:ser>
        <c:ser>
          <c:idx val="8"/>
          <c:order val="8"/>
          <c:tx>
            <c:strRef>
              <c:f>グラフ用!$B$39</c:f>
              <c:strCache>
                <c:ptCount val="1"/>
                <c:pt idx="0">
                  <c:v>SWE.1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グラフ用!$C$39:$L$39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8-196C-4FA8-A8DE-DAA7D96EB8E1}"/>
            </c:ext>
          </c:extLst>
        </c:ser>
        <c:ser>
          <c:idx val="9"/>
          <c:order val="9"/>
          <c:tx>
            <c:strRef>
              <c:f>グラフ用!$B$40</c:f>
              <c:strCache>
                <c:ptCount val="1"/>
                <c:pt idx="0">
                  <c:v>SWE.2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グラフ用!$C$40:$L$40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9-196C-4FA8-A8DE-DAA7D96EB8E1}"/>
            </c:ext>
          </c:extLst>
        </c:ser>
        <c:ser>
          <c:idx val="10"/>
          <c:order val="10"/>
          <c:tx>
            <c:strRef>
              <c:f>グラフ用!$B$41</c:f>
              <c:strCache>
                <c:ptCount val="1"/>
                <c:pt idx="0">
                  <c:v>SWE.3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グラフ用!$C$41:$L$41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A-196C-4FA8-A8DE-DAA7D96EB8E1}"/>
            </c:ext>
          </c:extLst>
        </c:ser>
        <c:ser>
          <c:idx val="11"/>
          <c:order val="11"/>
          <c:tx>
            <c:strRef>
              <c:f>グラフ用!$B$42</c:f>
              <c:strCache>
                <c:ptCount val="1"/>
                <c:pt idx="0">
                  <c:v>SWE.4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グラフ用!$C$42:$L$42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B-196C-4FA8-A8DE-DAA7D96EB8E1}"/>
            </c:ext>
          </c:extLst>
        </c:ser>
        <c:ser>
          <c:idx val="12"/>
          <c:order val="12"/>
          <c:tx>
            <c:strRef>
              <c:f>グラフ用!$B$43</c:f>
              <c:strCache>
                <c:ptCount val="1"/>
                <c:pt idx="0">
                  <c:v>SWE.5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グラフ用!$C$43:$L$43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C-196C-4FA8-A8DE-DAA7D96EB8E1}"/>
            </c:ext>
          </c:extLst>
        </c:ser>
        <c:ser>
          <c:idx val="13"/>
          <c:order val="13"/>
          <c:tx>
            <c:strRef>
              <c:f>グラフ用!$B$44</c:f>
              <c:strCache>
                <c:ptCount val="1"/>
                <c:pt idx="0">
                  <c:v>SWE.6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グラフ用!$C$44:$L$44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D-196C-4FA8-A8DE-DAA7D96EB8E1}"/>
            </c:ext>
          </c:extLst>
        </c:ser>
        <c:ser>
          <c:idx val="14"/>
          <c:order val="14"/>
          <c:tx>
            <c:strRef>
              <c:f>グラフ用!$B$45</c:f>
              <c:strCache>
                <c:ptCount val="1"/>
                <c:pt idx="0">
                  <c:v>SUP.1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グラフ用!$C$45:$L$45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E-196C-4FA8-A8DE-DAA7D96EB8E1}"/>
            </c:ext>
          </c:extLst>
        </c:ser>
        <c:ser>
          <c:idx val="15"/>
          <c:order val="15"/>
          <c:tx>
            <c:strRef>
              <c:f>グラフ用!$B$46</c:f>
              <c:strCache>
                <c:ptCount val="1"/>
                <c:pt idx="0">
                  <c:v>SUP.8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グラフ用!$C$46:$L$46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F-196C-4FA8-A8DE-DAA7D96EB8E1}"/>
            </c:ext>
          </c:extLst>
        </c:ser>
        <c:ser>
          <c:idx val="16"/>
          <c:order val="16"/>
          <c:tx>
            <c:strRef>
              <c:f>グラフ用!$B$47</c:f>
              <c:strCache>
                <c:ptCount val="1"/>
                <c:pt idx="0">
                  <c:v>SUP.9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グラフ用!$C$47:$L$47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0-196C-4FA8-A8DE-DAA7D96EB8E1}"/>
            </c:ext>
          </c:extLst>
        </c:ser>
        <c:ser>
          <c:idx val="17"/>
          <c:order val="17"/>
          <c:tx>
            <c:strRef>
              <c:f>グラフ用!$B$48</c:f>
              <c:strCache>
                <c:ptCount val="1"/>
                <c:pt idx="0">
                  <c:v>SUP.10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グラフ用!$C$48:$L$48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1-196C-4FA8-A8DE-DAA7D96EB8E1}"/>
            </c:ext>
          </c:extLst>
        </c:ser>
        <c:ser>
          <c:idx val="18"/>
          <c:order val="18"/>
          <c:tx>
            <c:strRef>
              <c:f>グラフ用!$B$49</c:f>
              <c:strCache>
                <c:ptCount val="1"/>
                <c:pt idx="0">
                  <c:v>MAN.3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グラフ用!$C$49:$L$49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2-196C-4FA8-A8DE-DAA7D96EB8E1}"/>
            </c:ext>
          </c:extLst>
        </c:ser>
        <c:ser>
          <c:idx val="19"/>
          <c:order val="19"/>
          <c:tx>
            <c:strRef>
              <c:f>グラフ用!$B$50</c:f>
              <c:strCache>
                <c:ptCount val="1"/>
                <c:pt idx="0">
                  <c:v>MAN.5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グラフ用!$C$50:$L$50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3-196C-4FA8-A8DE-DAA7D96EB8E1}"/>
            </c:ext>
          </c:extLst>
        </c:ser>
        <c:ser>
          <c:idx val="20"/>
          <c:order val="20"/>
          <c:tx>
            <c:strRef>
              <c:f>グラフ用!$B$51</c:f>
              <c:strCache>
                <c:ptCount val="1"/>
                <c:pt idx="0">
                  <c:v>PIM.3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グラフ用!$C$51:$L$51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4-196C-4FA8-A8DE-DAA7D96EB8E1}"/>
            </c:ext>
          </c:extLst>
        </c:ser>
        <c:ser>
          <c:idx val="21"/>
          <c:order val="21"/>
          <c:tx>
            <c:strRef>
              <c:f>グラフ用!$B$52</c:f>
              <c:strCache>
                <c:ptCount val="1"/>
                <c:pt idx="0">
                  <c:v>REU.2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グラフ用!$C$30:$L$30</c:f>
              <c:strCache>
                <c:ptCount val="10"/>
                <c:pt idx="0">
                  <c:v>XXX</c:v>
                </c:pt>
                <c:pt idx="1">
                  <c:v>XXX</c:v>
                </c:pt>
                <c:pt idx="2">
                  <c:v>XXX</c:v>
                </c:pt>
                <c:pt idx="3">
                  <c:v>XXX</c:v>
                </c:pt>
                <c:pt idx="4">
                  <c:v>XXX</c:v>
                </c:pt>
                <c:pt idx="5">
                  <c:v>XXX</c:v>
                </c:pt>
                <c:pt idx="6">
                  <c:v>XXX</c:v>
                </c:pt>
                <c:pt idx="7">
                  <c:v>XXX</c:v>
                </c:pt>
                <c:pt idx="8">
                  <c:v>XXX</c:v>
                </c:pt>
                <c:pt idx="9">
                  <c:v>XXX</c:v>
                </c:pt>
              </c:strCache>
            </c:strRef>
          </c:cat>
          <c:val>
            <c:numRef>
              <c:f>グラフ用!$C$52:$L$52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15-196C-4FA8-A8DE-DAA7D96EB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5539064"/>
        <c:axId val="555539392"/>
      </c:barChart>
      <c:catAx>
        <c:axId val="555539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39392"/>
        <c:crosses val="autoZero"/>
        <c:auto val="1"/>
        <c:lblAlgn val="ctr"/>
        <c:lblOffset val="100"/>
        <c:noMultiLvlLbl val="0"/>
      </c:catAx>
      <c:valAx>
        <c:axId val="55553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5539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不適合総件数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グラフ用!$F$3:$F$4</c:f>
              <c:strCache>
                <c:ptCount val="2"/>
                <c:pt idx="0">
                  <c:v>成果物監査不適合件数</c:v>
                </c:pt>
                <c:pt idx="1">
                  <c:v>Open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グラフ用!$B$5:$B$8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Nomal</c:v>
                </c:pt>
                <c:pt idx="3">
                  <c:v>Low</c:v>
                </c:pt>
              </c:strCache>
            </c:strRef>
          </c:cat>
          <c:val>
            <c:numRef>
              <c:f>グラフ用!$F$5:$F$8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9A7A-4A1B-821B-3154089404F1}"/>
            </c:ext>
          </c:extLst>
        </c:ser>
        <c:ser>
          <c:idx val="4"/>
          <c:order val="4"/>
          <c:tx>
            <c:strRef>
              <c:f>グラフ用!$G$3:$G$4</c:f>
              <c:strCache>
                <c:ptCount val="2"/>
                <c:pt idx="0">
                  <c:v>成果物監査不適合件数</c:v>
                </c:pt>
                <c:pt idx="1">
                  <c:v>Close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グラフ用!$B$5:$B$8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Nomal</c:v>
                </c:pt>
                <c:pt idx="3">
                  <c:v>Low</c:v>
                </c:pt>
              </c:strCache>
            </c:strRef>
          </c:cat>
          <c:val>
            <c:numRef>
              <c:f>グラフ用!$G$5:$G$8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9A7A-4A1B-821B-3154089404F1}"/>
            </c:ext>
          </c:extLst>
        </c:ser>
        <c:ser>
          <c:idx val="5"/>
          <c:order val="5"/>
          <c:tx>
            <c:strRef>
              <c:f>グラフ用!$H$3:$H$4</c:f>
              <c:strCache>
                <c:ptCount val="2"/>
                <c:pt idx="0">
                  <c:v>成果物監査不適合件数</c:v>
                </c:pt>
                <c:pt idx="1">
                  <c:v>是正/予防不要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cat>
            <c:strRef>
              <c:f>グラフ用!$B$5:$B$8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Nomal</c:v>
                </c:pt>
                <c:pt idx="3">
                  <c:v>Low</c:v>
                </c:pt>
              </c:strCache>
            </c:strRef>
          </c:cat>
          <c:val>
            <c:numRef>
              <c:f>グラフ用!$H$5:$H$8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9A7A-4A1B-821B-3154089404F1}"/>
            </c:ext>
          </c:extLst>
        </c:ser>
        <c:ser>
          <c:idx val="6"/>
          <c:order val="6"/>
          <c:tx>
            <c:strRef>
              <c:f>グラフ用!$I$3:$I$4</c:f>
              <c:strCache>
                <c:ptCount val="2"/>
                <c:pt idx="0">
                  <c:v>プロセス監査不適合件数</c:v>
                </c:pt>
                <c:pt idx="1">
                  <c:v>Open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グラフ用!$B$5:$B$8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Nomal</c:v>
                </c:pt>
                <c:pt idx="3">
                  <c:v>Low</c:v>
                </c:pt>
              </c:strCache>
            </c:strRef>
          </c:cat>
          <c:val>
            <c:numRef>
              <c:f>グラフ用!$I$5:$I$8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9A7A-4A1B-821B-3154089404F1}"/>
            </c:ext>
          </c:extLst>
        </c:ser>
        <c:ser>
          <c:idx val="7"/>
          <c:order val="7"/>
          <c:tx>
            <c:strRef>
              <c:f>グラフ用!$J$3:$J$4</c:f>
              <c:strCache>
                <c:ptCount val="2"/>
                <c:pt idx="0">
                  <c:v>プロセス監査不適合件数</c:v>
                </c:pt>
                <c:pt idx="1">
                  <c:v>Close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グラフ用!$B$5:$B$8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Nomal</c:v>
                </c:pt>
                <c:pt idx="3">
                  <c:v>Low</c:v>
                </c:pt>
              </c:strCache>
            </c:strRef>
          </c:cat>
          <c:val>
            <c:numRef>
              <c:f>グラフ用!$J$5:$J$8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9A7A-4A1B-821B-3154089404F1}"/>
            </c:ext>
          </c:extLst>
        </c:ser>
        <c:ser>
          <c:idx val="8"/>
          <c:order val="8"/>
          <c:tx>
            <c:strRef>
              <c:f>グラフ用!$K$3:$K$4</c:f>
              <c:strCache>
                <c:ptCount val="2"/>
                <c:pt idx="0">
                  <c:v>プロセス監査不適合件数</c:v>
                </c:pt>
                <c:pt idx="1">
                  <c:v>是正/予防不要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グラフ用!$B$5:$B$8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Nomal</c:v>
                </c:pt>
                <c:pt idx="3">
                  <c:v>Low</c:v>
                </c:pt>
              </c:strCache>
            </c:strRef>
          </c:cat>
          <c:val>
            <c:numRef>
              <c:f>グラフ用!$K$5:$K$8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5-9A7A-4A1B-821B-315408940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538371904"/>
        <c:axId val="538370592"/>
      </c:barChart>
      <c:lineChart>
        <c:grouping val="standard"/>
        <c:varyColors val="0"/>
        <c:ser>
          <c:idx val="0"/>
          <c:order val="0"/>
          <c:tx>
            <c:strRef>
              <c:f>グラフ用!$C$3:$C$4</c:f>
              <c:strCache>
                <c:ptCount val="2"/>
                <c:pt idx="0">
                  <c:v>総件数</c:v>
                </c:pt>
                <c:pt idx="1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9A7A-4A1B-821B-3154089404F1}"/>
              </c:ext>
            </c:extLst>
          </c:dPt>
          <c:cat>
            <c:strRef>
              <c:f>グラフ用!$B$5:$B$8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Nomal</c:v>
                </c:pt>
                <c:pt idx="3">
                  <c:v>Low</c:v>
                </c:pt>
              </c:strCache>
            </c:strRef>
          </c:cat>
          <c:val>
            <c:numRef>
              <c:f>グラフ用!$C$5:$C$8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7A-4A1B-821B-3154089404F1}"/>
            </c:ext>
          </c:extLst>
        </c:ser>
        <c:ser>
          <c:idx val="1"/>
          <c:order val="1"/>
          <c:tx>
            <c:strRef>
              <c:f>グラフ用!$D$3:$D$4</c:f>
              <c:strCache>
                <c:ptCount val="2"/>
                <c:pt idx="0">
                  <c:v>総件数</c:v>
                </c:pt>
                <c:pt idx="1">
                  <c:v>Open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グラフ用!$B$5:$B$8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Nomal</c:v>
                </c:pt>
                <c:pt idx="3">
                  <c:v>Low</c:v>
                </c:pt>
              </c:strCache>
            </c:strRef>
          </c:cat>
          <c:val>
            <c:numRef>
              <c:f>グラフ用!$D$5:$D$8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7A-4A1B-821B-3154089404F1}"/>
            </c:ext>
          </c:extLst>
        </c:ser>
        <c:ser>
          <c:idx val="2"/>
          <c:order val="2"/>
          <c:tx>
            <c:strRef>
              <c:f>グラフ用!$E$3:$E$4</c:f>
              <c:strCache>
                <c:ptCount val="2"/>
                <c:pt idx="0">
                  <c:v>総件数</c:v>
                </c:pt>
                <c:pt idx="1">
                  <c:v>Close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グラフ用!$B$5:$B$8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Nomal</c:v>
                </c:pt>
                <c:pt idx="3">
                  <c:v>Low</c:v>
                </c:pt>
              </c:strCache>
            </c:strRef>
          </c:cat>
          <c:val>
            <c:numRef>
              <c:f>グラフ用!$E$5:$E$8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A7A-4A1B-821B-315408940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298432"/>
        <c:axId val="538295152"/>
      </c:lineChart>
      <c:catAx>
        <c:axId val="53837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8370592"/>
        <c:crosses val="autoZero"/>
        <c:auto val="1"/>
        <c:lblAlgn val="ctr"/>
        <c:lblOffset val="100"/>
        <c:noMultiLvlLbl val="0"/>
      </c:catAx>
      <c:valAx>
        <c:axId val="5383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8371904"/>
        <c:crosses val="autoZero"/>
        <c:crossBetween val="between"/>
      </c:valAx>
      <c:valAx>
        <c:axId val="5382951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8298432"/>
        <c:crosses val="max"/>
        <c:crossBetween val="between"/>
      </c:valAx>
      <c:catAx>
        <c:axId val="538298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8295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93</xdr:row>
      <xdr:rowOff>85725</xdr:rowOff>
    </xdr:from>
    <xdr:to>
      <xdr:col>14</xdr:col>
      <xdr:colOff>390525</xdr:colOff>
      <xdr:row>112</xdr:row>
      <xdr:rowOff>38100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399D6B1-3E23-45F4-81BF-51FF6959E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304800</xdr:colOff>
      <xdr:row>65</xdr:row>
      <xdr:rowOff>45720</xdr:rowOff>
    </xdr:from>
    <xdr:to>
      <xdr:col>14</xdr:col>
      <xdr:colOff>396240</xdr:colOff>
      <xdr:row>84</xdr:row>
      <xdr:rowOff>7620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2C07F32-9A98-4773-BEBA-DC5696D7F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314325</xdr:colOff>
      <xdr:row>122</xdr:row>
      <xdr:rowOff>30479</xdr:rowOff>
    </xdr:from>
    <xdr:to>
      <xdr:col>14</xdr:col>
      <xdr:colOff>386715</xdr:colOff>
      <xdr:row>140</xdr:row>
      <xdr:rowOff>169544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DBFC10B-4AE8-4F3D-88C4-FA93D4466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320040</xdr:colOff>
      <xdr:row>37</xdr:row>
      <xdr:rowOff>7620</xdr:rowOff>
    </xdr:from>
    <xdr:to>
      <xdr:col>14</xdr:col>
      <xdr:colOff>373380</xdr:colOff>
      <xdr:row>55</xdr:row>
      <xdr:rowOff>144780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E055EE9-3D26-48E7-B9E5-541B14924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1DA6-73DC-44B3-BAE1-D5AD540C9ADF}">
  <dimension ref="A1:Q153"/>
  <sheetViews>
    <sheetView showGridLines="0" tabSelected="1" topLeftCell="A17" zoomScaleNormal="100" workbookViewId="0">
      <selection activeCell="B47" sqref="B47"/>
    </sheetView>
  </sheetViews>
  <sheetFormatPr defaultColWidth="8.83203125" defaultRowHeight="14" x14ac:dyDescent="0.55000000000000004"/>
  <cols>
    <col min="1" max="1" width="1" style="1" customWidth="1"/>
    <col min="2" max="3" width="8.5" style="1" customWidth="1"/>
    <col min="4" max="4" width="7.6640625" style="1" customWidth="1"/>
    <col min="5" max="5" width="9.33203125" style="1" customWidth="1"/>
    <col min="6" max="15" width="8.5" style="1" customWidth="1"/>
    <col min="16" max="16" width="0.83203125" style="1" customWidth="1"/>
    <col min="17" max="16384" width="8.83203125" style="1"/>
  </cols>
  <sheetData>
    <row r="1" spans="1:16" ht="4.75" customHeight="1" thickBot="1" x14ac:dyDescent="0.6"/>
    <row r="2" spans="1:16" ht="35.4" customHeight="1" thickTop="1" x14ac:dyDescent="0.55000000000000004">
      <c r="B2" s="137" t="s">
        <v>64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2"/>
    </row>
    <row r="3" spans="1:16" ht="4.25" customHeight="1" x14ac:dyDescent="0.55000000000000004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7.5" customHeight="1" x14ac:dyDescent="0.55000000000000004">
      <c r="B4" s="129" t="s">
        <v>65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1"/>
    </row>
    <row r="5" spans="1:16" ht="17.5" customHeight="1" x14ac:dyDescent="0.55000000000000004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/>
      <c r="O5" s="6"/>
      <c r="P5" s="8"/>
    </row>
    <row r="6" spans="1:16" ht="17.5" customHeight="1" x14ac:dyDescent="0.55000000000000004">
      <c r="A6" s="5"/>
      <c r="B6" s="127" t="s">
        <v>0</v>
      </c>
      <c r="C6" s="128"/>
      <c r="D6" s="124" t="s">
        <v>22</v>
      </c>
      <c r="E6" s="125"/>
      <c r="F6" s="125"/>
      <c r="G6" s="126"/>
      <c r="H6" s="7"/>
      <c r="I6" s="7"/>
      <c r="J6" s="7"/>
      <c r="K6" s="7"/>
      <c r="L6" s="7"/>
      <c r="M6" s="7"/>
      <c r="N6" s="139"/>
      <c r="O6" s="139"/>
      <c r="P6" s="5"/>
    </row>
    <row r="7" spans="1:16" ht="17.5" customHeight="1" x14ac:dyDescent="0.55000000000000004">
      <c r="A7" s="5"/>
      <c r="B7" s="127" t="s">
        <v>1</v>
      </c>
      <c r="C7" s="128"/>
      <c r="D7" s="124" t="s">
        <v>22</v>
      </c>
      <c r="E7" s="125"/>
      <c r="F7" s="125"/>
      <c r="G7" s="126"/>
      <c r="H7" s="7"/>
      <c r="I7" s="7"/>
      <c r="J7" s="7"/>
      <c r="K7" s="7"/>
      <c r="L7" s="7"/>
      <c r="M7" s="7"/>
      <c r="N7" s="139"/>
      <c r="O7" s="139"/>
      <c r="P7" s="5"/>
    </row>
    <row r="8" spans="1:16" ht="17.5" customHeight="1" x14ac:dyDescent="0.55000000000000004">
      <c r="A8" s="5"/>
      <c r="B8" s="127" t="s">
        <v>2</v>
      </c>
      <c r="C8" s="128"/>
      <c r="D8" s="124" t="s">
        <v>22</v>
      </c>
      <c r="E8" s="125"/>
      <c r="F8" s="125"/>
      <c r="G8" s="126"/>
      <c r="H8" s="7"/>
      <c r="I8" s="7"/>
      <c r="J8" s="7"/>
      <c r="K8" s="7"/>
      <c r="L8" s="7"/>
      <c r="M8" s="7"/>
      <c r="N8" s="132"/>
      <c r="O8" s="132"/>
      <c r="P8" s="5"/>
    </row>
    <row r="9" spans="1:16" ht="17.5" customHeight="1" thickBot="1" x14ac:dyDescent="0.6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spans="1:16" ht="17.5" customHeight="1" x14ac:dyDescent="0.55000000000000004">
      <c r="B10" s="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5"/>
    </row>
    <row r="11" spans="1:16" ht="17.5" customHeight="1" x14ac:dyDescent="0.55000000000000004">
      <c r="B11" s="129" t="s">
        <v>66</v>
      </c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1"/>
    </row>
    <row r="12" spans="1:16" x14ac:dyDescent="0.55000000000000004">
      <c r="B12" s="13"/>
      <c r="P12" s="5"/>
    </row>
    <row r="13" spans="1:16" x14ac:dyDescent="0.55000000000000004">
      <c r="B13" s="13" t="s">
        <v>67</v>
      </c>
      <c r="P13" s="5"/>
    </row>
    <row r="14" spans="1:16" x14ac:dyDescent="0.55000000000000004">
      <c r="B14" s="13"/>
      <c r="C14" s="113" t="s">
        <v>68</v>
      </c>
      <c r="E14" s="113"/>
      <c r="F14" s="114" t="s">
        <v>69</v>
      </c>
      <c r="G14" s="114"/>
      <c r="H14" s="114" t="s">
        <v>70</v>
      </c>
      <c r="I14" s="113"/>
      <c r="K14" s="114" t="s">
        <v>71</v>
      </c>
      <c r="M14" s="114" t="s">
        <v>72</v>
      </c>
      <c r="O14" s="113"/>
      <c r="P14" s="5"/>
    </row>
    <row r="15" spans="1:16" ht="30.5" customHeight="1" x14ac:dyDescent="0.55000000000000004">
      <c r="A15" s="5"/>
      <c r="B15" s="127" t="s">
        <v>16</v>
      </c>
      <c r="C15" s="128"/>
      <c r="D15" s="135" t="s">
        <v>73</v>
      </c>
      <c r="E15" s="136"/>
      <c r="F15" s="135" t="s">
        <v>74</v>
      </c>
      <c r="G15" s="136"/>
      <c r="H15" s="15"/>
      <c r="I15" s="15"/>
      <c r="O15" s="16"/>
      <c r="P15" s="5"/>
    </row>
    <row r="16" spans="1:16" x14ac:dyDescent="0.55000000000000004">
      <c r="A16" s="5"/>
      <c r="B16" s="133" t="str">
        <f>グラフ用!B16</f>
        <v>XXX</v>
      </c>
      <c r="C16" s="134"/>
      <c r="D16" s="124"/>
      <c r="E16" s="126"/>
      <c r="F16" s="124"/>
      <c r="G16" s="126"/>
      <c r="H16" s="15"/>
      <c r="I16" s="15"/>
      <c r="O16" s="16"/>
      <c r="P16" s="5"/>
    </row>
    <row r="17" spans="1:16" x14ac:dyDescent="0.55000000000000004">
      <c r="A17" s="5"/>
      <c r="B17" s="133" t="str">
        <f>グラフ用!B17</f>
        <v>XXX</v>
      </c>
      <c r="C17" s="134"/>
      <c r="D17" s="124"/>
      <c r="E17" s="126"/>
      <c r="F17" s="124"/>
      <c r="G17" s="126"/>
      <c r="H17" s="15"/>
      <c r="I17" s="15"/>
      <c r="O17" s="16"/>
      <c r="P17" s="5"/>
    </row>
    <row r="18" spans="1:16" x14ac:dyDescent="0.55000000000000004">
      <c r="A18" s="5"/>
      <c r="B18" s="133" t="str">
        <f>グラフ用!B18</f>
        <v>XXX</v>
      </c>
      <c r="C18" s="134"/>
      <c r="D18" s="124"/>
      <c r="E18" s="126"/>
      <c r="F18" s="124"/>
      <c r="G18" s="126"/>
      <c r="H18" s="15"/>
      <c r="I18" s="15"/>
      <c r="O18" s="16"/>
      <c r="P18" s="5"/>
    </row>
    <row r="19" spans="1:16" x14ac:dyDescent="0.55000000000000004">
      <c r="A19" s="5"/>
      <c r="B19" s="133" t="str">
        <f>グラフ用!B19</f>
        <v>XXX</v>
      </c>
      <c r="C19" s="134"/>
      <c r="D19" s="124"/>
      <c r="E19" s="126"/>
      <c r="F19" s="124"/>
      <c r="G19" s="126"/>
      <c r="H19" s="15"/>
      <c r="I19" s="15"/>
      <c r="O19" s="16"/>
      <c r="P19" s="5"/>
    </row>
    <row r="20" spans="1:16" x14ac:dyDescent="0.55000000000000004">
      <c r="A20" s="5"/>
      <c r="B20" s="133" t="str">
        <f>グラフ用!B20</f>
        <v>XXX</v>
      </c>
      <c r="C20" s="134"/>
      <c r="D20" s="124"/>
      <c r="E20" s="126"/>
      <c r="F20" s="124"/>
      <c r="G20" s="126"/>
      <c r="H20" s="15"/>
      <c r="I20" s="15"/>
      <c r="O20" s="16"/>
      <c r="P20" s="5"/>
    </row>
    <row r="21" spans="1:16" x14ac:dyDescent="0.55000000000000004">
      <c r="A21" s="5"/>
      <c r="B21" s="133" t="str">
        <f>グラフ用!B21</f>
        <v>XXX</v>
      </c>
      <c r="C21" s="134"/>
      <c r="D21" s="124"/>
      <c r="E21" s="126"/>
      <c r="F21" s="124"/>
      <c r="G21" s="126"/>
      <c r="H21" s="15"/>
      <c r="I21" s="15"/>
      <c r="O21" s="16"/>
      <c r="P21" s="5"/>
    </row>
    <row r="22" spans="1:16" x14ac:dyDescent="0.55000000000000004">
      <c r="B22" s="13"/>
      <c r="P22" s="5"/>
    </row>
    <row r="23" spans="1:16" x14ac:dyDescent="0.55000000000000004">
      <c r="B23" s="13" t="s">
        <v>75</v>
      </c>
      <c r="F23" s="14"/>
      <c r="G23" s="14"/>
      <c r="H23" s="14"/>
      <c r="I23" s="14"/>
      <c r="J23" s="14"/>
      <c r="K23" s="14"/>
      <c r="L23" s="14"/>
      <c r="M23" s="14"/>
      <c r="N23" s="14"/>
      <c r="P23" s="5"/>
    </row>
    <row r="24" spans="1:16" x14ac:dyDescent="0.55000000000000004">
      <c r="B24" s="13"/>
      <c r="C24" s="113" t="s">
        <v>68</v>
      </c>
      <c r="E24" s="113"/>
      <c r="F24" s="114" t="s">
        <v>69</v>
      </c>
      <c r="G24" s="114"/>
      <c r="H24" s="114" t="s">
        <v>70</v>
      </c>
      <c r="I24" s="113"/>
      <c r="K24" s="114" t="s">
        <v>71</v>
      </c>
      <c r="M24" s="114" t="s">
        <v>72</v>
      </c>
      <c r="O24" s="113"/>
      <c r="P24" s="5"/>
    </row>
    <row r="25" spans="1:16" ht="28.5" customHeight="1" x14ac:dyDescent="0.55000000000000004">
      <c r="A25" s="5"/>
      <c r="B25" s="127" t="s">
        <v>16</v>
      </c>
      <c r="C25" s="128"/>
      <c r="D25" s="135" t="s">
        <v>73</v>
      </c>
      <c r="E25" s="136"/>
      <c r="F25" s="135" t="s">
        <v>74</v>
      </c>
      <c r="G25" s="136"/>
      <c r="H25" s="15"/>
      <c r="I25" s="15"/>
      <c r="O25" s="16"/>
      <c r="P25" s="5"/>
    </row>
    <row r="26" spans="1:16" x14ac:dyDescent="0.55000000000000004">
      <c r="A26" s="5"/>
      <c r="B26" s="133" t="str">
        <f>グラフ用!B16</f>
        <v>XXX</v>
      </c>
      <c r="C26" s="134"/>
      <c r="D26" s="124"/>
      <c r="E26" s="126"/>
      <c r="F26" s="124"/>
      <c r="G26" s="126"/>
      <c r="H26" s="15"/>
      <c r="I26" s="15"/>
      <c r="O26" s="16"/>
      <c r="P26" s="5"/>
    </row>
    <row r="27" spans="1:16" x14ac:dyDescent="0.55000000000000004">
      <c r="A27" s="5"/>
      <c r="B27" s="133" t="str">
        <f>グラフ用!B17</f>
        <v>XXX</v>
      </c>
      <c r="C27" s="134"/>
      <c r="D27" s="124"/>
      <c r="E27" s="126"/>
      <c r="F27" s="124"/>
      <c r="G27" s="126"/>
      <c r="H27" s="15"/>
      <c r="I27" s="15"/>
      <c r="O27" s="16"/>
      <c r="P27" s="5"/>
    </row>
    <row r="28" spans="1:16" x14ac:dyDescent="0.55000000000000004">
      <c r="A28" s="5"/>
      <c r="B28" s="133" t="str">
        <f>グラフ用!B18</f>
        <v>XXX</v>
      </c>
      <c r="C28" s="134"/>
      <c r="D28" s="124"/>
      <c r="E28" s="126"/>
      <c r="F28" s="124"/>
      <c r="G28" s="126"/>
      <c r="H28" s="15"/>
      <c r="I28" s="15"/>
      <c r="O28" s="16"/>
      <c r="P28" s="5"/>
    </row>
    <row r="29" spans="1:16" x14ac:dyDescent="0.55000000000000004">
      <c r="A29" s="5"/>
      <c r="B29" s="133" t="str">
        <f>グラフ用!B19</f>
        <v>XXX</v>
      </c>
      <c r="C29" s="134"/>
      <c r="D29" s="124"/>
      <c r="E29" s="126"/>
      <c r="F29" s="124"/>
      <c r="G29" s="126"/>
      <c r="H29" s="15"/>
      <c r="I29" s="15"/>
      <c r="O29" s="16"/>
      <c r="P29" s="5"/>
    </row>
    <row r="30" spans="1:16" x14ac:dyDescent="0.55000000000000004">
      <c r="A30" s="5"/>
      <c r="B30" s="133" t="str">
        <f>グラフ用!B20</f>
        <v>XXX</v>
      </c>
      <c r="C30" s="134"/>
      <c r="D30" s="124"/>
      <c r="E30" s="126"/>
      <c r="F30" s="124"/>
      <c r="G30" s="126"/>
      <c r="H30" s="15"/>
      <c r="I30" s="15"/>
      <c r="O30" s="16"/>
      <c r="P30" s="5"/>
    </row>
    <row r="31" spans="1:16" x14ac:dyDescent="0.55000000000000004">
      <c r="A31" s="5"/>
      <c r="B31" s="133" t="str">
        <f>グラフ用!B21</f>
        <v>XXX</v>
      </c>
      <c r="C31" s="134"/>
      <c r="D31" s="124"/>
      <c r="E31" s="126"/>
      <c r="F31" s="124"/>
      <c r="G31" s="126"/>
      <c r="H31" s="15"/>
      <c r="I31" s="15"/>
      <c r="O31" s="16"/>
      <c r="P31" s="5"/>
    </row>
    <row r="32" spans="1:16" ht="14.5" thickBot="1" x14ac:dyDescent="0.6"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5"/>
    </row>
    <row r="33" spans="1:16" ht="14.5" thickTop="1" x14ac:dyDescent="0.55000000000000004">
      <c r="A33" s="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/>
      <c r="P33" s="2"/>
    </row>
    <row r="34" spans="1:16" s="21" customFormat="1" x14ac:dyDescent="0.3">
      <c r="A34" s="20"/>
      <c r="B34" s="129" t="s">
        <v>76</v>
      </c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1"/>
    </row>
    <row r="35" spans="1:16" s="21" customFormat="1" x14ac:dyDescent="0.3">
      <c r="A35" s="22"/>
      <c r="B35" s="107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9"/>
    </row>
    <row r="36" spans="1:16" x14ac:dyDescent="0.55000000000000004">
      <c r="B36" s="13" t="s">
        <v>77</v>
      </c>
      <c r="P36" s="5"/>
    </row>
    <row r="37" spans="1:16" x14ac:dyDescent="0.55000000000000004">
      <c r="B37" s="13"/>
      <c r="P37" s="5"/>
    </row>
    <row r="38" spans="1:16" x14ac:dyDescent="0.55000000000000004">
      <c r="B38" s="13"/>
      <c r="P38" s="5"/>
    </row>
    <row r="39" spans="1:16" x14ac:dyDescent="0.55000000000000004">
      <c r="B39" s="13"/>
      <c r="P39" s="5"/>
    </row>
    <row r="40" spans="1:16" x14ac:dyDescent="0.55000000000000004">
      <c r="B40" s="13"/>
      <c r="P40" s="5"/>
    </row>
    <row r="41" spans="1:16" x14ac:dyDescent="0.55000000000000004">
      <c r="B41" s="13"/>
      <c r="P41" s="5"/>
    </row>
    <row r="42" spans="1:16" x14ac:dyDescent="0.55000000000000004">
      <c r="B42" s="13"/>
      <c r="P42" s="5"/>
    </row>
    <row r="43" spans="1:16" x14ac:dyDescent="0.55000000000000004">
      <c r="B43" s="13"/>
      <c r="P43" s="5"/>
    </row>
    <row r="44" spans="1:16" x14ac:dyDescent="0.55000000000000004">
      <c r="B44" s="13"/>
      <c r="P44" s="5"/>
    </row>
    <row r="45" spans="1:16" x14ac:dyDescent="0.55000000000000004">
      <c r="B45" s="13"/>
      <c r="P45" s="5"/>
    </row>
    <row r="46" spans="1:16" x14ac:dyDescent="0.55000000000000004">
      <c r="B46" s="13"/>
      <c r="P46" s="5"/>
    </row>
    <row r="47" spans="1:16" x14ac:dyDescent="0.55000000000000004">
      <c r="B47" s="13"/>
      <c r="P47" s="5"/>
    </row>
    <row r="48" spans="1:16" x14ac:dyDescent="0.55000000000000004">
      <c r="B48" s="13"/>
      <c r="P48" s="5"/>
    </row>
    <row r="49" spans="1:16" x14ac:dyDescent="0.55000000000000004">
      <c r="B49" s="13"/>
      <c r="P49" s="5"/>
    </row>
    <row r="50" spans="1:16" x14ac:dyDescent="0.55000000000000004">
      <c r="B50" s="13"/>
      <c r="P50" s="5"/>
    </row>
    <row r="51" spans="1:16" x14ac:dyDescent="0.55000000000000004">
      <c r="B51" s="13"/>
      <c r="P51" s="5"/>
    </row>
    <row r="52" spans="1:16" x14ac:dyDescent="0.55000000000000004">
      <c r="B52" s="13"/>
      <c r="P52" s="5"/>
    </row>
    <row r="53" spans="1:16" x14ac:dyDescent="0.55000000000000004">
      <c r="B53" s="13"/>
      <c r="P53" s="5"/>
    </row>
    <row r="54" spans="1:16" x14ac:dyDescent="0.55000000000000004">
      <c r="B54" s="13"/>
      <c r="P54" s="5"/>
    </row>
    <row r="55" spans="1:16" x14ac:dyDescent="0.55000000000000004">
      <c r="B55" s="13"/>
      <c r="P55" s="5"/>
    </row>
    <row r="56" spans="1:16" x14ac:dyDescent="0.55000000000000004">
      <c r="B56" s="13"/>
      <c r="P56" s="5"/>
    </row>
    <row r="57" spans="1:16" ht="14.5" thickBot="1" x14ac:dyDescent="0.6">
      <c r="B57" s="13"/>
      <c r="P57" s="5"/>
    </row>
    <row r="58" spans="1:16" ht="14.5" thickTop="1" x14ac:dyDescent="0.55000000000000004">
      <c r="B58" s="115" t="s">
        <v>78</v>
      </c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7"/>
    </row>
    <row r="59" spans="1:16" x14ac:dyDescent="0.55000000000000004">
      <c r="A59" s="16"/>
      <c r="B59" s="118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20"/>
    </row>
    <row r="60" spans="1:16" x14ac:dyDescent="0.55000000000000004">
      <c r="B60" s="118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20"/>
    </row>
    <row r="61" spans="1:16" x14ac:dyDescent="0.55000000000000004">
      <c r="B61" s="118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20"/>
    </row>
    <row r="62" spans="1:16" ht="18.649999999999999" customHeight="1" thickBot="1" x14ac:dyDescent="0.6">
      <c r="B62" s="121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3"/>
    </row>
    <row r="63" spans="1:16" s="21" customFormat="1" ht="14.5" thickTop="1" x14ac:dyDescent="0.3">
      <c r="A63" s="20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3"/>
    </row>
    <row r="64" spans="1:16" x14ac:dyDescent="0.55000000000000004">
      <c r="B64" s="13" t="s">
        <v>79</v>
      </c>
      <c r="P64" s="5"/>
    </row>
    <row r="65" spans="2:16" x14ac:dyDescent="0.55000000000000004">
      <c r="B65" s="13"/>
      <c r="P65" s="5"/>
    </row>
    <row r="66" spans="2:16" x14ac:dyDescent="0.55000000000000004">
      <c r="B66" s="13"/>
      <c r="P66" s="5"/>
    </row>
    <row r="67" spans="2:16" x14ac:dyDescent="0.55000000000000004">
      <c r="B67" s="13"/>
      <c r="P67" s="5"/>
    </row>
    <row r="68" spans="2:16" x14ac:dyDescent="0.55000000000000004">
      <c r="B68" s="13"/>
      <c r="P68" s="5"/>
    </row>
    <row r="69" spans="2:16" x14ac:dyDescent="0.55000000000000004">
      <c r="B69" s="13"/>
      <c r="P69" s="5"/>
    </row>
    <row r="70" spans="2:16" x14ac:dyDescent="0.55000000000000004">
      <c r="B70" s="13"/>
      <c r="P70" s="5"/>
    </row>
    <row r="71" spans="2:16" x14ac:dyDescent="0.55000000000000004">
      <c r="B71" s="13"/>
      <c r="P71" s="5"/>
    </row>
    <row r="72" spans="2:16" x14ac:dyDescent="0.55000000000000004">
      <c r="B72" s="13"/>
      <c r="P72" s="5"/>
    </row>
    <row r="73" spans="2:16" x14ac:dyDescent="0.55000000000000004">
      <c r="B73" s="13"/>
      <c r="P73" s="5"/>
    </row>
    <row r="74" spans="2:16" x14ac:dyDescent="0.55000000000000004">
      <c r="B74" s="13"/>
      <c r="P74" s="5"/>
    </row>
    <row r="75" spans="2:16" x14ac:dyDescent="0.55000000000000004">
      <c r="B75" s="13"/>
      <c r="P75" s="5"/>
    </row>
    <row r="76" spans="2:16" x14ac:dyDescent="0.55000000000000004">
      <c r="B76" s="13"/>
      <c r="P76" s="5"/>
    </row>
    <row r="77" spans="2:16" x14ac:dyDescent="0.55000000000000004">
      <c r="B77" s="13"/>
      <c r="P77" s="5"/>
    </row>
    <row r="78" spans="2:16" x14ac:dyDescent="0.55000000000000004">
      <c r="B78" s="13"/>
      <c r="P78" s="5"/>
    </row>
    <row r="79" spans="2:16" x14ac:dyDescent="0.55000000000000004">
      <c r="B79" s="13"/>
      <c r="P79" s="5"/>
    </row>
    <row r="80" spans="2:16" x14ac:dyDescent="0.55000000000000004">
      <c r="B80" s="13"/>
      <c r="P80" s="5"/>
    </row>
    <row r="81" spans="1:16" x14ac:dyDescent="0.55000000000000004">
      <c r="B81" s="13"/>
      <c r="P81" s="5"/>
    </row>
    <row r="82" spans="1:16" x14ac:dyDescent="0.55000000000000004">
      <c r="B82" s="13"/>
      <c r="P82" s="5"/>
    </row>
    <row r="83" spans="1:16" x14ac:dyDescent="0.55000000000000004">
      <c r="B83" s="13"/>
      <c r="P83" s="5"/>
    </row>
    <row r="84" spans="1:16" x14ac:dyDescent="0.55000000000000004">
      <c r="B84" s="13"/>
      <c r="P84" s="5"/>
    </row>
    <row r="85" spans="1:16" ht="14.5" thickBot="1" x14ac:dyDescent="0.6">
      <c r="B85" s="13"/>
      <c r="P85" s="5"/>
    </row>
    <row r="86" spans="1:16" ht="14.5" thickTop="1" x14ac:dyDescent="0.55000000000000004">
      <c r="B86" s="115" t="s">
        <v>80</v>
      </c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7"/>
    </row>
    <row r="87" spans="1:16" x14ac:dyDescent="0.55000000000000004">
      <c r="A87" s="16"/>
      <c r="B87" s="118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20"/>
    </row>
    <row r="88" spans="1:16" x14ac:dyDescent="0.55000000000000004">
      <c r="B88" s="118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20"/>
    </row>
    <row r="89" spans="1:16" x14ac:dyDescent="0.55000000000000004">
      <c r="B89" s="118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20"/>
    </row>
    <row r="90" spans="1:16" ht="18.649999999999999" customHeight="1" thickBot="1" x14ac:dyDescent="0.6">
      <c r="B90" s="121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3"/>
    </row>
    <row r="91" spans="1:16" ht="14.5" thickTop="1" x14ac:dyDescent="0.55000000000000004">
      <c r="B91" s="13"/>
      <c r="P91" s="5"/>
    </row>
    <row r="92" spans="1:16" x14ac:dyDescent="0.55000000000000004">
      <c r="B92" s="13" t="s">
        <v>27</v>
      </c>
      <c r="P92" s="5"/>
    </row>
    <row r="93" spans="1:16" x14ac:dyDescent="0.55000000000000004">
      <c r="B93" s="13"/>
      <c r="P93" s="5"/>
    </row>
    <row r="94" spans="1:16" x14ac:dyDescent="0.55000000000000004">
      <c r="B94" s="13"/>
      <c r="P94" s="5"/>
    </row>
    <row r="95" spans="1:16" x14ac:dyDescent="0.55000000000000004">
      <c r="B95" s="13"/>
      <c r="P95" s="5"/>
    </row>
    <row r="96" spans="1:16" x14ac:dyDescent="0.55000000000000004">
      <c r="B96" s="13"/>
      <c r="P96" s="5"/>
    </row>
    <row r="97" spans="2:16" x14ac:dyDescent="0.55000000000000004">
      <c r="B97" s="13"/>
      <c r="P97" s="5"/>
    </row>
    <row r="98" spans="2:16" x14ac:dyDescent="0.55000000000000004">
      <c r="B98" s="13"/>
      <c r="P98" s="5"/>
    </row>
    <row r="99" spans="2:16" x14ac:dyDescent="0.55000000000000004">
      <c r="B99" s="13"/>
      <c r="P99" s="5"/>
    </row>
    <row r="100" spans="2:16" x14ac:dyDescent="0.55000000000000004">
      <c r="B100" s="13"/>
      <c r="P100" s="5"/>
    </row>
    <row r="101" spans="2:16" x14ac:dyDescent="0.55000000000000004">
      <c r="B101" s="13"/>
      <c r="P101" s="5"/>
    </row>
    <row r="102" spans="2:16" x14ac:dyDescent="0.55000000000000004">
      <c r="B102" s="13"/>
      <c r="P102" s="5"/>
    </row>
    <row r="103" spans="2:16" x14ac:dyDescent="0.55000000000000004">
      <c r="B103" s="13"/>
      <c r="P103" s="5"/>
    </row>
    <row r="104" spans="2:16" x14ac:dyDescent="0.55000000000000004">
      <c r="B104" s="13"/>
      <c r="P104" s="5"/>
    </row>
    <row r="105" spans="2:16" x14ac:dyDescent="0.55000000000000004">
      <c r="B105" s="13"/>
      <c r="P105" s="5"/>
    </row>
    <row r="106" spans="2:16" x14ac:dyDescent="0.55000000000000004">
      <c r="B106" s="13"/>
      <c r="P106" s="5"/>
    </row>
    <row r="107" spans="2:16" x14ac:dyDescent="0.55000000000000004">
      <c r="B107" s="13"/>
      <c r="P107" s="5"/>
    </row>
    <row r="108" spans="2:16" x14ac:dyDescent="0.55000000000000004">
      <c r="B108" s="13"/>
      <c r="P108" s="5"/>
    </row>
    <row r="109" spans="2:16" x14ac:dyDescent="0.55000000000000004">
      <c r="B109" s="13"/>
      <c r="P109" s="5"/>
    </row>
    <row r="110" spans="2:16" x14ac:dyDescent="0.55000000000000004">
      <c r="B110" s="13"/>
      <c r="P110" s="5"/>
    </row>
    <row r="111" spans="2:16" ht="15.65" customHeight="1" x14ac:dyDescent="0.55000000000000004">
      <c r="B111" s="13"/>
      <c r="P111" s="5"/>
    </row>
    <row r="112" spans="2:16" x14ac:dyDescent="0.55000000000000004">
      <c r="B112" s="13"/>
      <c r="P112" s="5"/>
    </row>
    <row r="113" spans="1:16" ht="14.5" thickBot="1" x14ac:dyDescent="0.6">
      <c r="B113" s="13"/>
      <c r="P113" s="5"/>
    </row>
    <row r="114" spans="1:16" ht="14.5" thickTop="1" x14ac:dyDescent="0.55000000000000004">
      <c r="B114" s="115" t="s">
        <v>81</v>
      </c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7"/>
    </row>
    <row r="115" spans="1:16" x14ac:dyDescent="0.55000000000000004">
      <c r="A115" s="16"/>
      <c r="B115" s="118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20"/>
    </row>
    <row r="116" spans="1:16" x14ac:dyDescent="0.55000000000000004">
      <c r="B116" s="118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20"/>
    </row>
    <row r="117" spans="1:16" x14ac:dyDescent="0.55000000000000004">
      <c r="B117" s="118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20"/>
    </row>
    <row r="118" spans="1:16" ht="14.5" thickBot="1" x14ac:dyDescent="0.6">
      <c r="B118" s="121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3"/>
    </row>
    <row r="119" spans="1:16" ht="14.5" thickTop="1" x14ac:dyDescent="0.55000000000000004">
      <c r="B119" s="13"/>
      <c r="P119" s="5"/>
    </row>
    <row r="120" spans="1:16" x14ac:dyDescent="0.55000000000000004">
      <c r="B120" s="13"/>
      <c r="P120" s="5"/>
    </row>
    <row r="121" spans="1:16" x14ac:dyDescent="0.55000000000000004">
      <c r="B121" s="13" t="s">
        <v>82</v>
      </c>
      <c r="P121" s="5"/>
    </row>
    <row r="122" spans="1:16" x14ac:dyDescent="0.55000000000000004">
      <c r="B122" s="13"/>
      <c r="P122" s="5"/>
    </row>
    <row r="123" spans="1:16" x14ac:dyDescent="0.55000000000000004">
      <c r="B123" s="13"/>
      <c r="P123" s="5"/>
    </row>
    <row r="124" spans="1:16" x14ac:dyDescent="0.55000000000000004">
      <c r="B124" s="13"/>
      <c r="P124" s="5"/>
    </row>
    <row r="125" spans="1:16" x14ac:dyDescent="0.55000000000000004">
      <c r="B125" s="13"/>
      <c r="P125" s="5"/>
    </row>
    <row r="126" spans="1:16" x14ac:dyDescent="0.55000000000000004">
      <c r="B126" s="13"/>
      <c r="P126" s="5"/>
    </row>
    <row r="127" spans="1:16" x14ac:dyDescent="0.55000000000000004">
      <c r="B127" s="13"/>
      <c r="P127" s="5"/>
    </row>
    <row r="128" spans="1:16" x14ac:dyDescent="0.55000000000000004">
      <c r="B128" s="13"/>
      <c r="P128" s="5"/>
    </row>
    <row r="129" spans="1:16" x14ac:dyDescent="0.55000000000000004">
      <c r="B129" s="13"/>
      <c r="P129" s="5"/>
    </row>
    <row r="130" spans="1:16" x14ac:dyDescent="0.55000000000000004">
      <c r="B130" s="13"/>
      <c r="P130" s="5"/>
    </row>
    <row r="131" spans="1:16" x14ac:dyDescent="0.55000000000000004">
      <c r="B131" s="13"/>
      <c r="P131" s="5"/>
    </row>
    <row r="132" spans="1:16" x14ac:dyDescent="0.55000000000000004">
      <c r="B132" s="13"/>
      <c r="P132" s="5"/>
    </row>
    <row r="133" spans="1:16" x14ac:dyDescent="0.55000000000000004">
      <c r="B133" s="13"/>
      <c r="P133" s="5"/>
    </row>
    <row r="134" spans="1:16" x14ac:dyDescent="0.55000000000000004">
      <c r="B134" s="13"/>
      <c r="P134" s="5"/>
    </row>
    <row r="135" spans="1:16" x14ac:dyDescent="0.55000000000000004">
      <c r="B135" s="13"/>
      <c r="P135" s="5"/>
    </row>
    <row r="136" spans="1:16" x14ac:dyDescent="0.55000000000000004">
      <c r="B136" s="13"/>
      <c r="P136" s="5"/>
    </row>
    <row r="137" spans="1:16" x14ac:dyDescent="0.55000000000000004">
      <c r="B137" s="13"/>
      <c r="P137" s="5"/>
    </row>
    <row r="138" spans="1:16" x14ac:dyDescent="0.55000000000000004">
      <c r="B138" s="13"/>
      <c r="P138" s="5"/>
    </row>
    <row r="139" spans="1:16" x14ac:dyDescent="0.55000000000000004">
      <c r="B139" s="13"/>
      <c r="P139" s="5"/>
    </row>
    <row r="140" spans="1:16" x14ac:dyDescent="0.55000000000000004">
      <c r="B140" s="13"/>
      <c r="P140" s="5"/>
    </row>
    <row r="141" spans="1:16" x14ac:dyDescent="0.55000000000000004">
      <c r="B141" s="13"/>
      <c r="P141" s="5"/>
    </row>
    <row r="142" spans="1:16" ht="14.5" thickBot="1" x14ac:dyDescent="0.6">
      <c r="B142" s="13"/>
      <c r="P142" s="5"/>
    </row>
    <row r="143" spans="1:16" ht="14.5" thickTop="1" x14ac:dyDescent="0.55000000000000004">
      <c r="B143" s="115" t="s">
        <v>83</v>
      </c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7"/>
    </row>
    <row r="144" spans="1:16" x14ac:dyDescent="0.55000000000000004">
      <c r="A144" s="16"/>
      <c r="B144" s="118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20"/>
    </row>
    <row r="145" spans="1:17" x14ac:dyDescent="0.55000000000000004">
      <c r="B145" s="118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20"/>
    </row>
    <row r="146" spans="1:17" x14ac:dyDescent="0.55000000000000004">
      <c r="B146" s="118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20"/>
    </row>
    <row r="147" spans="1:17" ht="8.4" customHeight="1" thickBot="1" x14ac:dyDescent="0.6">
      <c r="A147" s="16"/>
      <c r="B147" s="121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3"/>
      <c r="Q147" s="13"/>
    </row>
    <row r="148" spans="1:17" ht="15" thickTop="1" thickBot="1" x14ac:dyDescent="0.6">
      <c r="A148" s="16"/>
      <c r="B148" s="39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13"/>
    </row>
    <row r="149" spans="1:17" ht="14.5" thickTop="1" x14ac:dyDescent="0.55000000000000004">
      <c r="A149" s="16"/>
      <c r="B149" s="41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17" x14ac:dyDescent="0.5500000000000000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</row>
    <row r="151" spans="1:17" x14ac:dyDescent="0.55000000000000004">
      <c r="A151" s="16"/>
    </row>
    <row r="152" spans="1:17" x14ac:dyDescent="0.55000000000000004">
      <c r="A152" s="16"/>
    </row>
    <row r="153" spans="1:17" x14ac:dyDescent="0.55000000000000004">
      <c r="A153" s="16"/>
    </row>
  </sheetData>
  <mergeCells count="59">
    <mergeCell ref="B2:O2"/>
    <mergeCell ref="N6:O6"/>
    <mergeCell ref="N7:O7"/>
    <mergeCell ref="F21:G21"/>
    <mergeCell ref="D21:E21"/>
    <mergeCell ref="F15:G15"/>
    <mergeCell ref="B15:C15"/>
    <mergeCell ref="B16:C16"/>
    <mergeCell ref="B17:C17"/>
    <mergeCell ref="B18:C18"/>
    <mergeCell ref="B19:C19"/>
    <mergeCell ref="B20:C20"/>
    <mergeCell ref="B21:C21"/>
    <mergeCell ref="D15:E15"/>
    <mergeCell ref="D16:E16"/>
    <mergeCell ref="D17:E17"/>
    <mergeCell ref="B114:P118"/>
    <mergeCell ref="B143:P147"/>
    <mergeCell ref="B4:P4"/>
    <mergeCell ref="B11:P11"/>
    <mergeCell ref="B31:C31"/>
    <mergeCell ref="D31:E31"/>
    <mergeCell ref="F31:G31"/>
    <mergeCell ref="B86:P90"/>
    <mergeCell ref="B29:C29"/>
    <mergeCell ref="D29:E29"/>
    <mergeCell ref="F29:G29"/>
    <mergeCell ref="B30:C30"/>
    <mergeCell ref="D30:E30"/>
    <mergeCell ref="F30:G30"/>
    <mergeCell ref="B27:C27"/>
    <mergeCell ref="D27:E27"/>
    <mergeCell ref="B6:C6"/>
    <mergeCell ref="D6:G6"/>
    <mergeCell ref="B7:C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D18:E18"/>
    <mergeCell ref="D19:E19"/>
    <mergeCell ref="D20:E20"/>
    <mergeCell ref="B58:P62"/>
    <mergeCell ref="D7:G7"/>
    <mergeCell ref="B8:C8"/>
    <mergeCell ref="D8:G8"/>
    <mergeCell ref="B34:P34"/>
    <mergeCell ref="N8:O8"/>
    <mergeCell ref="F16:G16"/>
    <mergeCell ref="F17:G17"/>
    <mergeCell ref="F18:G18"/>
    <mergeCell ref="F19:G19"/>
    <mergeCell ref="F20:G20"/>
  </mergeCells>
  <phoneticPr fontId="1"/>
  <dataValidations count="1">
    <dataValidation type="list" allowBlank="1" showInputMessage="1" showErrorMessage="1" sqref="D16:G21 D26:G31" xr:uid="{D523CC7D-AD24-4388-8663-F75152FD414D}">
      <formula1>"●,×,-"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061F-14F6-4030-B2F4-3C3E102074F9}">
  <dimension ref="A2:U236"/>
  <sheetViews>
    <sheetView showGridLines="0" workbookViewId="0"/>
  </sheetViews>
  <sheetFormatPr defaultColWidth="9" defaultRowHeight="15" x14ac:dyDescent="0.35"/>
  <cols>
    <col min="1" max="1" width="3.1640625" style="42" customWidth="1"/>
    <col min="2" max="2" width="14.1640625" style="42" customWidth="1"/>
    <col min="3" max="6" width="12.83203125" style="42" customWidth="1"/>
    <col min="7" max="7" width="13.1640625" style="42" customWidth="1"/>
    <col min="8" max="14" width="12.83203125" style="42" customWidth="1"/>
    <col min="15" max="15" width="11.1640625" style="42" bestFit="1" customWidth="1"/>
    <col min="16" max="16384" width="9" style="42"/>
  </cols>
  <sheetData>
    <row r="2" spans="1:14" ht="15.5" thickBot="1" x14ac:dyDescent="0.4">
      <c r="B2" s="42" t="s">
        <v>57</v>
      </c>
    </row>
    <row r="3" spans="1:14" ht="18" customHeight="1" x14ac:dyDescent="0.35">
      <c r="A3" s="43"/>
      <c r="B3" s="24" t="s">
        <v>11</v>
      </c>
      <c r="C3" s="155" t="s">
        <v>5</v>
      </c>
      <c r="D3" s="156"/>
      <c r="E3" s="157"/>
      <c r="F3" s="158" t="s">
        <v>28</v>
      </c>
      <c r="G3" s="159"/>
      <c r="H3" s="160"/>
      <c r="I3" s="158" t="s">
        <v>29</v>
      </c>
      <c r="J3" s="159"/>
      <c r="K3" s="160"/>
    </row>
    <row r="4" spans="1:14" ht="15.5" thickBot="1" x14ac:dyDescent="0.4">
      <c r="A4" s="43"/>
      <c r="B4" s="110" t="s">
        <v>12</v>
      </c>
      <c r="C4" s="26" t="s">
        <v>8</v>
      </c>
      <c r="D4" s="27" t="s">
        <v>9</v>
      </c>
      <c r="E4" s="28" t="s">
        <v>10</v>
      </c>
      <c r="F4" s="26" t="s">
        <v>9</v>
      </c>
      <c r="G4" s="27" t="s">
        <v>10</v>
      </c>
      <c r="H4" s="112" t="s">
        <v>62</v>
      </c>
      <c r="I4" s="26" t="s">
        <v>9</v>
      </c>
      <c r="J4" s="27" t="s">
        <v>10</v>
      </c>
      <c r="K4" s="112" t="s">
        <v>63</v>
      </c>
    </row>
    <row r="5" spans="1:14" x14ac:dyDescent="0.35">
      <c r="A5" s="43"/>
      <c r="B5" s="111" t="s">
        <v>58</v>
      </c>
      <c r="C5" s="29">
        <f>SUM(D5+E5)</f>
        <v>0</v>
      </c>
      <c r="D5" s="44">
        <f>SUM(F5+I5)</f>
        <v>0</v>
      </c>
      <c r="E5" s="45">
        <f>SUM(G5+J5+H5+K5)</f>
        <v>0</v>
      </c>
      <c r="F5" s="30"/>
      <c r="G5" s="31"/>
      <c r="H5" s="31"/>
      <c r="I5" s="30"/>
      <c r="J5" s="31"/>
      <c r="K5" s="32"/>
    </row>
    <row r="6" spans="1:14" x14ac:dyDescent="0.35">
      <c r="A6" s="43"/>
      <c r="B6" s="25" t="s">
        <v>59</v>
      </c>
      <c r="C6" s="33">
        <f t="shared" ref="C6:C7" si="0">SUM(D6+E6)</f>
        <v>0</v>
      </c>
      <c r="D6" s="46">
        <f t="shared" ref="D6:D8" si="1">SUM(F6+I6)</f>
        <v>0</v>
      </c>
      <c r="E6" s="34">
        <f t="shared" ref="E6:E8" si="2">SUM(G6+J6+H6+K6)</f>
        <v>0</v>
      </c>
      <c r="F6" s="35"/>
      <c r="G6" s="36"/>
      <c r="H6" s="36"/>
      <c r="I6" s="37"/>
      <c r="J6" s="36"/>
      <c r="K6" s="38"/>
    </row>
    <row r="7" spans="1:14" x14ac:dyDescent="0.35">
      <c r="A7" s="43"/>
      <c r="B7" s="25" t="s">
        <v>60</v>
      </c>
      <c r="C7" s="33">
        <f t="shared" si="0"/>
        <v>0</v>
      </c>
      <c r="D7" s="46">
        <f t="shared" si="1"/>
        <v>0</v>
      </c>
      <c r="E7" s="34">
        <f t="shared" si="2"/>
        <v>0</v>
      </c>
      <c r="F7" s="35"/>
      <c r="G7" s="36"/>
      <c r="H7" s="36"/>
      <c r="I7" s="37"/>
      <c r="J7" s="36"/>
      <c r="K7" s="38"/>
    </row>
    <row r="8" spans="1:14" ht="15.5" thickBot="1" x14ac:dyDescent="0.4">
      <c r="A8" s="43"/>
      <c r="B8" s="47" t="s">
        <v>61</v>
      </c>
      <c r="C8" s="48">
        <f>SUM(D8+E8)</f>
        <v>0</v>
      </c>
      <c r="D8" s="49">
        <f t="shared" si="1"/>
        <v>0</v>
      </c>
      <c r="E8" s="50">
        <f t="shared" si="2"/>
        <v>0</v>
      </c>
      <c r="F8" s="51"/>
      <c r="G8" s="52"/>
      <c r="H8" s="52"/>
      <c r="I8" s="51"/>
      <c r="J8" s="52"/>
      <c r="K8" s="53"/>
    </row>
    <row r="9" spans="1:14" ht="15.5" thickBot="1" x14ac:dyDescent="0.4">
      <c r="B9" s="54" t="s">
        <v>32</v>
      </c>
      <c r="C9" s="55">
        <f>SUM(C5:C8)</f>
        <v>0</v>
      </c>
      <c r="D9" s="55">
        <f>SUM(D5:D8)</f>
        <v>0</v>
      </c>
      <c r="E9" s="55">
        <f>SUM(E5:E8)</f>
        <v>0</v>
      </c>
      <c r="F9" s="55">
        <f>SUM(F5:F8)</f>
        <v>0</v>
      </c>
      <c r="G9" s="55">
        <f t="shared" ref="G9:K9" si="3">SUM(G5:G8)</f>
        <v>0</v>
      </c>
      <c r="H9" s="55">
        <f t="shared" si="3"/>
        <v>0</v>
      </c>
      <c r="I9" s="55">
        <f t="shared" si="3"/>
        <v>0</v>
      </c>
      <c r="J9" s="55">
        <f t="shared" si="3"/>
        <v>0</v>
      </c>
      <c r="K9" s="55">
        <f t="shared" si="3"/>
        <v>0</v>
      </c>
    </row>
    <row r="13" spans="1:14" ht="15.5" thickBot="1" x14ac:dyDescent="0.4">
      <c r="B13" s="42" t="s">
        <v>23</v>
      </c>
      <c r="G13" s="56"/>
      <c r="H13" s="56"/>
      <c r="J13" s="42" t="s">
        <v>25</v>
      </c>
    </row>
    <row r="14" spans="1:14" ht="18" customHeight="1" thickBot="1" x14ac:dyDescent="0.4">
      <c r="B14" s="55" t="s">
        <v>17</v>
      </c>
      <c r="C14" s="140" t="s">
        <v>13</v>
      </c>
      <c r="D14" s="141"/>
      <c r="E14" s="141"/>
      <c r="F14" s="141"/>
      <c r="G14" s="142"/>
      <c r="H14" s="57"/>
      <c r="J14" s="55" t="s">
        <v>6</v>
      </c>
      <c r="K14" s="140" t="s">
        <v>13</v>
      </c>
      <c r="L14" s="141"/>
      <c r="M14" s="141"/>
      <c r="N14" s="142"/>
    </row>
    <row r="15" spans="1:14" ht="18.5" thickBot="1" x14ac:dyDescent="0.4">
      <c r="B15" s="58" t="s">
        <v>14</v>
      </c>
      <c r="C15" s="59" t="s">
        <v>24</v>
      </c>
      <c r="D15" s="60" t="s">
        <v>19</v>
      </c>
      <c r="E15" s="61" t="s">
        <v>18</v>
      </c>
      <c r="F15" s="62" t="s">
        <v>20</v>
      </c>
      <c r="G15" s="63" t="s">
        <v>21</v>
      </c>
      <c r="H15" s="64"/>
      <c r="J15" s="65" t="s">
        <v>14</v>
      </c>
      <c r="K15" s="161" t="s">
        <v>3</v>
      </c>
      <c r="L15" s="163"/>
      <c r="M15" s="161" t="s">
        <v>4</v>
      </c>
      <c r="N15" s="162"/>
    </row>
    <row r="16" spans="1:14" ht="18" customHeight="1" x14ac:dyDescent="0.35">
      <c r="B16" s="66" t="s">
        <v>33</v>
      </c>
      <c r="C16" s="67"/>
      <c r="D16" s="68"/>
      <c r="E16" s="69">
        <f>SUM(C16:D16)</f>
        <v>0</v>
      </c>
      <c r="F16" s="70">
        <f>E16</f>
        <v>0</v>
      </c>
      <c r="G16" s="71">
        <f>D16</f>
        <v>0</v>
      </c>
      <c r="H16" s="64"/>
      <c r="J16" s="72" t="str">
        <f t="shared" ref="J16:J24" si="4">B16</f>
        <v>XXX</v>
      </c>
      <c r="K16" s="145"/>
      <c r="L16" s="146"/>
      <c r="M16" s="149"/>
      <c r="N16" s="150"/>
    </row>
    <row r="17" spans="2:21" x14ac:dyDescent="0.35">
      <c r="B17" s="73" t="s">
        <v>33</v>
      </c>
      <c r="C17" s="74"/>
      <c r="D17" s="75"/>
      <c r="E17" s="76">
        <f>SUM(C17:D17)</f>
        <v>0</v>
      </c>
      <c r="F17" s="77">
        <f>SUM(F16+E17)</f>
        <v>0</v>
      </c>
      <c r="G17" s="76">
        <f>SUM(G16+D17)</f>
        <v>0</v>
      </c>
      <c r="H17" s="64"/>
      <c r="J17" s="78" t="str">
        <f>B17</f>
        <v>XXX</v>
      </c>
      <c r="K17" s="143"/>
      <c r="L17" s="144"/>
      <c r="M17" s="151"/>
      <c r="N17" s="152"/>
    </row>
    <row r="18" spans="2:21" x14ac:dyDescent="0.35">
      <c r="B18" s="73" t="s">
        <v>33</v>
      </c>
      <c r="C18" s="74"/>
      <c r="D18" s="75"/>
      <c r="E18" s="79">
        <f>SUM(C18:D18)</f>
        <v>0</v>
      </c>
      <c r="F18" s="77">
        <f>SUM(F17+E18)</f>
        <v>0</v>
      </c>
      <c r="G18" s="76">
        <f>SUM(G17+D18)</f>
        <v>0</v>
      </c>
      <c r="H18" s="64"/>
      <c r="J18" s="78" t="str">
        <f t="shared" si="4"/>
        <v>XXX</v>
      </c>
      <c r="K18" s="143"/>
      <c r="L18" s="144"/>
      <c r="M18" s="151"/>
      <c r="N18" s="152"/>
    </row>
    <row r="19" spans="2:21" x14ac:dyDescent="0.35">
      <c r="B19" s="73" t="s">
        <v>33</v>
      </c>
      <c r="C19" s="74"/>
      <c r="D19" s="75"/>
      <c r="E19" s="80">
        <f t="shared" ref="E19:E25" si="5">SUM(C19:D19)</f>
        <v>0</v>
      </c>
      <c r="F19" s="77">
        <f t="shared" ref="F19:F25" si="6">SUM(F18+E19)</f>
        <v>0</v>
      </c>
      <c r="G19" s="76">
        <f t="shared" ref="G19:G25" si="7">SUM(G18+D19)</f>
        <v>0</v>
      </c>
      <c r="H19" s="64"/>
      <c r="J19" s="78" t="str">
        <f t="shared" si="4"/>
        <v>XXX</v>
      </c>
      <c r="K19" s="143"/>
      <c r="L19" s="144"/>
      <c r="M19" s="151"/>
      <c r="N19" s="152"/>
    </row>
    <row r="20" spans="2:21" x14ac:dyDescent="0.35">
      <c r="B20" s="73" t="s">
        <v>33</v>
      </c>
      <c r="C20" s="74"/>
      <c r="D20" s="75"/>
      <c r="E20" s="80">
        <f t="shared" si="5"/>
        <v>0</v>
      </c>
      <c r="F20" s="77">
        <f t="shared" si="6"/>
        <v>0</v>
      </c>
      <c r="G20" s="76">
        <f t="shared" si="7"/>
        <v>0</v>
      </c>
      <c r="H20" s="64"/>
      <c r="J20" s="78" t="str">
        <f t="shared" si="4"/>
        <v>XXX</v>
      </c>
      <c r="K20" s="143"/>
      <c r="L20" s="144"/>
      <c r="M20" s="151"/>
      <c r="N20" s="152"/>
    </row>
    <row r="21" spans="2:21" x14ac:dyDescent="0.35">
      <c r="B21" s="73" t="s">
        <v>33</v>
      </c>
      <c r="C21" s="74"/>
      <c r="D21" s="75"/>
      <c r="E21" s="80">
        <f t="shared" si="5"/>
        <v>0</v>
      </c>
      <c r="F21" s="77">
        <f t="shared" si="6"/>
        <v>0</v>
      </c>
      <c r="G21" s="76">
        <f t="shared" si="7"/>
        <v>0</v>
      </c>
      <c r="H21" s="64"/>
      <c r="J21" s="81" t="str">
        <f t="shared" si="4"/>
        <v>XXX</v>
      </c>
      <c r="K21" s="143"/>
      <c r="L21" s="144"/>
      <c r="M21" s="151"/>
      <c r="N21" s="152"/>
    </row>
    <row r="22" spans="2:21" x14ac:dyDescent="0.35">
      <c r="B22" s="73" t="s">
        <v>33</v>
      </c>
      <c r="C22" s="74"/>
      <c r="D22" s="75"/>
      <c r="E22" s="80">
        <f t="shared" si="5"/>
        <v>0</v>
      </c>
      <c r="F22" s="77">
        <f t="shared" si="6"/>
        <v>0</v>
      </c>
      <c r="G22" s="76">
        <f t="shared" si="7"/>
        <v>0</v>
      </c>
      <c r="H22" s="64"/>
      <c r="J22" s="82" t="str">
        <f t="shared" si="4"/>
        <v>XXX</v>
      </c>
      <c r="K22" s="143"/>
      <c r="L22" s="144"/>
      <c r="M22" s="151"/>
      <c r="N22" s="152"/>
    </row>
    <row r="23" spans="2:21" x14ac:dyDescent="0.35">
      <c r="B23" s="73" t="s">
        <v>33</v>
      </c>
      <c r="C23" s="74"/>
      <c r="D23" s="75"/>
      <c r="E23" s="80">
        <f t="shared" si="5"/>
        <v>0</v>
      </c>
      <c r="F23" s="77">
        <f t="shared" si="6"/>
        <v>0</v>
      </c>
      <c r="G23" s="76">
        <f t="shared" si="7"/>
        <v>0</v>
      </c>
      <c r="H23" s="64"/>
      <c r="J23" s="78" t="str">
        <f t="shared" si="4"/>
        <v>XXX</v>
      </c>
      <c r="K23" s="143"/>
      <c r="L23" s="144"/>
      <c r="M23" s="151"/>
      <c r="N23" s="152"/>
    </row>
    <row r="24" spans="2:21" x14ac:dyDescent="0.35">
      <c r="B24" s="73" t="s">
        <v>33</v>
      </c>
      <c r="C24" s="74"/>
      <c r="D24" s="75"/>
      <c r="E24" s="80">
        <f t="shared" si="5"/>
        <v>0</v>
      </c>
      <c r="F24" s="77">
        <f t="shared" si="6"/>
        <v>0</v>
      </c>
      <c r="G24" s="76">
        <f t="shared" si="7"/>
        <v>0</v>
      </c>
      <c r="H24" s="64"/>
      <c r="J24" s="81" t="str">
        <f t="shared" si="4"/>
        <v>XXX</v>
      </c>
      <c r="K24" s="143"/>
      <c r="L24" s="144"/>
      <c r="M24" s="151"/>
      <c r="N24" s="152"/>
    </row>
    <row r="25" spans="2:21" ht="18.649999999999999" customHeight="1" thickBot="1" x14ac:dyDescent="0.4">
      <c r="B25" s="83" t="s">
        <v>34</v>
      </c>
      <c r="C25" s="84"/>
      <c r="D25" s="85"/>
      <c r="E25" s="86">
        <f t="shared" si="5"/>
        <v>0</v>
      </c>
      <c r="F25" s="87">
        <f t="shared" si="6"/>
        <v>0</v>
      </c>
      <c r="G25" s="86">
        <f t="shared" si="7"/>
        <v>0</v>
      </c>
      <c r="H25" s="64"/>
      <c r="J25" s="82" t="str">
        <f>B25</f>
        <v>XXX</v>
      </c>
      <c r="K25" s="153"/>
      <c r="L25" s="154"/>
      <c r="M25" s="147"/>
      <c r="N25" s="148"/>
    </row>
    <row r="26" spans="2:21" x14ac:dyDescent="0.35">
      <c r="J26" s="88"/>
    </row>
    <row r="27" spans="2:21" x14ac:dyDescent="0.35">
      <c r="B27" s="89"/>
      <c r="J27" s="56"/>
    </row>
    <row r="28" spans="2:21" ht="15.5" thickBot="1" x14ac:dyDescent="0.4">
      <c r="B28" s="89" t="s">
        <v>26</v>
      </c>
      <c r="J28" s="90"/>
      <c r="K28" s="90"/>
      <c r="L28" s="90"/>
      <c r="U28" s="56"/>
    </row>
    <row r="29" spans="2:21" ht="18.649999999999999" customHeight="1" thickBot="1" x14ac:dyDescent="0.4">
      <c r="B29" s="55" t="s">
        <v>7</v>
      </c>
      <c r="C29" s="140" t="s">
        <v>13</v>
      </c>
      <c r="D29" s="141"/>
      <c r="E29" s="141"/>
      <c r="F29" s="141"/>
      <c r="G29" s="141"/>
      <c r="H29" s="141"/>
      <c r="I29" s="141"/>
      <c r="J29" s="141"/>
      <c r="K29" s="141"/>
      <c r="L29" s="142"/>
      <c r="M29" s="91"/>
    </row>
    <row r="30" spans="2:21" ht="15.5" thickBot="1" x14ac:dyDescent="0.4">
      <c r="B30" s="55" t="s">
        <v>15</v>
      </c>
      <c r="C30" s="92" t="str">
        <f>B16</f>
        <v>XXX</v>
      </c>
      <c r="D30" s="92" t="str">
        <f>B17</f>
        <v>XXX</v>
      </c>
      <c r="E30" s="92" t="str">
        <f>B18</f>
        <v>XXX</v>
      </c>
      <c r="F30" s="92" t="str">
        <f>B19</f>
        <v>XXX</v>
      </c>
      <c r="G30" s="92" t="str">
        <f>B20</f>
        <v>XXX</v>
      </c>
      <c r="H30" s="92" t="str">
        <f>B21</f>
        <v>XXX</v>
      </c>
      <c r="I30" s="92" t="str">
        <f>B22</f>
        <v>XXX</v>
      </c>
      <c r="J30" s="92" t="str">
        <f>B23</f>
        <v>XXX</v>
      </c>
      <c r="K30" s="92" t="str">
        <f>B24</f>
        <v>XXX</v>
      </c>
      <c r="L30" s="93" t="str">
        <f>B25</f>
        <v>XXX</v>
      </c>
    </row>
    <row r="31" spans="2:21" x14ac:dyDescent="0.35">
      <c r="B31" s="94" t="s">
        <v>35</v>
      </c>
      <c r="C31" s="95"/>
      <c r="D31" s="68"/>
      <c r="E31" s="68"/>
      <c r="F31" s="68"/>
      <c r="G31" s="68"/>
      <c r="H31" s="68"/>
      <c r="I31" s="68"/>
      <c r="J31" s="67"/>
      <c r="K31" s="68"/>
      <c r="L31" s="96"/>
    </row>
    <row r="32" spans="2:21" x14ac:dyDescent="0.35">
      <c r="B32" s="97" t="s">
        <v>36</v>
      </c>
      <c r="C32" s="98"/>
      <c r="D32" s="75"/>
      <c r="E32" s="75"/>
      <c r="F32" s="75"/>
      <c r="G32" s="75"/>
      <c r="H32" s="75"/>
      <c r="I32" s="75"/>
      <c r="J32" s="74"/>
      <c r="K32" s="75"/>
      <c r="L32" s="99"/>
    </row>
    <row r="33" spans="2:12" x14ac:dyDescent="0.35">
      <c r="B33" s="97" t="s">
        <v>37</v>
      </c>
      <c r="C33" s="98"/>
      <c r="D33" s="75"/>
      <c r="E33" s="75"/>
      <c r="F33" s="75"/>
      <c r="G33" s="75"/>
      <c r="H33" s="75"/>
      <c r="I33" s="75"/>
      <c r="J33" s="74"/>
      <c r="K33" s="75"/>
      <c r="L33" s="99"/>
    </row>
    <row r="34" spans="2:12" x14ac:dyDescent="0.35">
      <c r="B34" s="97" t="s">
        <v>38</v>
      </c>
      <c r="C34" s="98"/>
      <c r="D34" s="75"/>
      <c r="E34" s="75"/>
      <c r="F34" s="75"/>
      <c r="G34" s="75"/>
      <c r="H34" s="75"/>
      <c r="I34" s="75"/>
      <c r="J34" s="74"/>
      <c r="K34" s="75"/>
      <c r="L34" s="99"/>
    </row>
    <row r="35" spans="2:12" x14ac:dyDescent="0.35">
      <c r="B35" s="97" t="s">
        <v>39</v>
      </c>
      <c r="C35" s="98"/>
      <c r="D35" s="75"/>
      <c r="E35" s="75"/>
      <c r="F35" s="75"/>
      <c r="G35" s="75"/>
      <c r="H35" s="75"/>
      <c r="I35" s="75"/>
      <c r="J35" s="74"/>
      <c r="K35" s="75"/>
      <c r="L35" s="99"/>
    </row>
    <row r="36" spans="2:12" x14ac:dyDescent="0.35">
      <c r="B36" s="97" t="s">
        <v>40</v>
      </c>
      <c r="C36" s="98"/>
      <c r="D36" s="75"/>
      <c r="E36" s="75"/>
      <c r="F36" s="75"/>
      <c r="G36" s="75"/>
      <c r="H36" s="75"/>
      <c r="I36" s="75"/>
      <c r="J36" s="74"/>
      <c r="K36" s="75"/>
      <c r="L36" s="99"/>
    </row>
    <row r="37" spans="2:12" x14ac:dyDescent="0.35">
      <c r="B37" s="97" t="s">
        <v>41</v>
      </c>
      <c r="C37" s="98"/>
      <c r="D37" s="75"/>
      <c r="E37" s="75"/>
      <c r="F37" s="75"/>
      <c r="G37" s="75"/>
      <c r="H37" s="75"/>
      <c r="I37" s="75"/>
      <c r="J37" s="74"/>
      <c r="K37" s="75"/>
      <c r="L37" s="99"/>
    </row>
    <row r="38" spans="2:12" x14ac:dyDescent="0.35">
      <c r="B38" s="97" t="s">
        <v>42</v>
      </c>
      <c r="C38" s="98"/>
      <c r="D38" s="75"/>
      <c r="E38" s="75"/>
      <c r="F38" s="75"/>
      <c r="G38" s="75"/>
      <c r="H38" s="75"/>
      <c r="I38" s="75"/>
      <c r="J38" s="74"/>
      <c r="K38" s="75"/>
      <c r="L38" s="99"/>
    </row>
    <row r="39" spans="2:12" x14ac:dyDescent="0.35">
      <c r="B39" s="97" t="s">
        <v>43</v>
      </c>
      <c r="C39" s="98"/>
      <c r="D39" s="75"/>
      <c r="E39" s="75"/>
      <c r="F39" s="75"/>
      <c r="G39" s="75"/>
      <c r="H39" s="75"/>
      <c r="I39" s="75"/>
      <c r="J39" s="74"/>
      <c r="K39" s="75"/>
      <c r="L39" s="99"/>
    </row>
    <row r="40" spans="2:12" x14ac:dyDescent="0.35">
      <c r="B40" s="97" t="s">
        <v>44</v>
      </c>
      <c r="C40" s="98"/>
      <c r="D40" s="75"/>
      <c r="E40" s="75"/>
      <c r="F40" s="75"/>
      <c r="G40" s="75"/>
      <c r="H40" s="75"/>
      <c r="I40" s="75"/>
      <c r="J40" s="74"/>
      <c r="K40" s="75"/>
      <c r="L40" s="99"/>
    </row>
    <row r="41" spans="2:12" x14ac:dyDescent="0.35">
      <c r="B41" s="97" t="s">
        <v>45</v>
      </c>
      <c r="C41" s="98"/>
      <c r="D41" s="75"/>
      <c r="E41" s="75"/>
      <c r="F41" s="75"/>
      <c r="G41" s="75"/>
      <c r="H41" s="75"/>
      <c r="I41" s="75"/>
      <c r="J41" s="74"/>
      <c r="K41" s="75"/>
      <c r="L41" s="99"/>
    </row>
    <row r="42" spans="2:12" x14ac:dyDescent="0.35">
      <c r="B42" s="97" t="s">
        <v>46</v>
      </c>
      <c r="C42" s="98"/>
      <c r="D42" s="75"/>
      <c r="E42" s="75"/>
      <c r="F42" s="75"/>
      <c r="G42" s="75"/>
      <c r="H42" s="75"/>
      <c r="I42" s="75"/>
      <c r="J42" s="74"/>
      <c r="K42" s="75"/>
      <c r="L42" s="99"/>
    </row>
    <row r="43" spans="2:12" x14ac:dyDescent="0.35">
      <c r="B43" s="97" t="s">
        <v>47</v>
      </c>
      <c r="C43" s="98"/>
      <c r="D43" s="75"/>
      <c r="E43" s="75"/>
      <c r="F43" s="75"/>
      <c r="G43" s="75"/>
      <c r="H43" s="75"/>
      <c r="I43" s="75"/>
      <c r="J43" s="74"/>
      <c r="K43" s="75"/>
      <c r="L43" s="99"/>
    </row>
    <row r="44" spans="2:12" x14ac:dyDescent="0.35">
      <c r="B44" s="97" t="s">
        <v>48</v>
      </c>
      <c r="C44" s="98"/>
      <c r="D44" s="75"/>
      <c r="E44" s="75"/>
      <c r="F44" s="75"/>
      <c r="G44" s="75"/>
      <c r="H44" s="75"/>
      <c r="I44" s="75"/>
      <c r="J44" s="74"/>
      <c r="K44" s="75"/>
      <c r="L44" s="99"/>
    </row>
    <row r="45" spans="2:12" x14ac:dyDescent="0.35">
      <c r="B45" s="97" t="s">
        <v>49</v>
      </c>
      <c r="C45" s="98"/>
      <c r="D45" s="75"/>
      <c r="E45" s="75"/>
      <c r="F45" s="75"/>
      <c r="G45" s="75"/>
      <c r="H45" s="75"/>
      <c r="I45" s="75"/>
      <c r="J45" s="74"/>
      <c r="K45" s="75"/>
      <c r="L45" s="99"/>
    </row>
    <row r="46" spans="2:12" x14ac:dyDescent="0.35">
      <c r="B46" s="97" t="s">
        <v>50</v>
      </c>
      <c r="C46" s="98"/>
      <c r="D46" s="75"/>
      <c r="E46" s="75"/>
      <c r="F46" s="75"/>
      <c r="G46" s="75"/>
      <c r="H46" s="75"/>
      <c r="I46" s="75"/>
      <c r="J46" s="74"/>
      <c r="K46" s="75"/>
      <c r="L46" s="99"/>
    </row>
    <row r="47" spans="2:12" x14ac:dyDescent="0.35">
      <c r="B47" s="97" t="s">
        <v>51</v>
      </c>
      <c r="C47" s="98"/>
      <c r="D47" s="75"/>
      <c r="E47" s="75"/>
      <c r="F47" s="75"/>
      <c r="G47" s="75"/>
      <c r="H47" s="75"/>
      <c r="I47" s="75"/>
      <c r="J47" s="74"/>
      <c r="K47" s="75"/>
      <c r="L47" s="99"/>
    </row>
    <row r="48" spans="2:12" x14ac:dyDescent="0.35">
      <c r="B48" s="97" t="s">
        <v>52</v>
      </c>
      <c r="C48" s="98"/>
      <c r="D48" s="75"/>
      <c r="E48" s="75"/>
      <c r="F48" s="75"/>
      <c r="G48" s="75"/>
      <c r="H48" s="75"/>
      <c r="I48" s="75"/>
      <c r="J48" s="74"/>
      <c r="K48" s="75"/>
      <c r="L48" s="99"/>
    </row>
    <row r="49" spans="1:15" x14ac:dyDescent="0.35">
      <c r="B49" s="97" t="s">
        <v>53</v>
      </c>
      <c r="C49" s="98"/>
      <c r="D49" s="75"/>
      <c r="E49" s="75"/>
      <c r="F49" s="75"/>
      <c r="G49" s="75"/>
      <c r="H49" s="75"/>
      <c r="I49" s="75"/>
      <c r="J49" s="74"/>
      <c r="K49" s="75"/>
      <c r="L49" s="99"/>
    </row>
    <row r="50" spans="1:15" x14ac:dyDescent="0.35">
      <c r="B50" s="97" t="s">
        <v>54</v>
      </c>
      <c r="C50" s="98"/>
      <c r="D50" s="75"/>
      <c r="E50" s="75"/>
      <c r="F50" s="75"/>
      <c r="G50" s="75"/>
      <c r="H50" s="75"/>
      <c r="I50" s="75"/>
      <c r="J50" s="74"/>
      <c r="K50" s="75"/>
      <c r="L50" s="99"/>
    </row>
    <row r="51" spans="1:15" x14ac:dyDescent="0.35">
      <c r="B51" s="97" t="s">
        <v>55</v>
      </c>
      <c r="C51" s="98"/>
      <c r="D51" s="75"/>
      <c r="E51" s="75"/>
      <c r="F51" s="75"/>
      <c r="G51" s="75"/>
      <c r="H51" s="75"/>
      <c r="I51" s="75"/>
      <c r="J51" s="74"/>
      <c r="K51" s="75"/>
      <c r="L51" s="99"/>
    </row>
    <row r="52" spans="1:15" ht="15.5" thickBot="1" x14ac:dyDescent="0.4">
      <c r="B52" s="100" t="s">
        <v>56</v>
      </c>
      <c r="C52" s="101"/>
      <c r="D52" s="102"/>
      <c r="E52" s="102"/>
      <c r="F52" s="102"/>
      <c r="G52" s="102"/>
      <c r="H52" s="102"/>
      <c r="I52" s="102"/>
      <c r="J52" s="103"/>
      <c r="K52" s="102"/>
      <c r="L52" s="104"/>
    </row>
    <row r="53" spans="1:15" ht="15.5" thickBot="1" x14ac:dyDescent="0.4">
      <c r="B53" s="105" t="s">
        <v>31</v>
      </c>
      <c r="C53" s="55">
        <f t="shared" ref="C53:L53" si="8">SUM(C31:C52)</f>
        <v>0</v>
      </c>
      <c r="D53" s="55">
        <f t="shared" si="8"/>
        <v>0</v>
      </c>
      <c r="E53" s="55">
        <f t="shared" si="8"/>
        <v>0</v>
      </c>
      <c r="F53" s="55">
        <f t="shared" si="8"/>
        <v>0</v>
      </c>
      <c r="G53" s="55">
        <f t="shared" si="8"/>
        <v>0</v>
      </c>
      <c r="H53" s="55">
        <f t="shared" si="8"/>
        <v>0</v>
      </c>
      <c r="I53" s="55">
        <f t="shared" si="8"/>
        <v>0</v>
      </c>
      <c r="J53" s="55">
        <f t="shared" si="8"/>
        <v>0</v>
      </c>
      <c r="K53" s="55">
        <f t="shared" si="8"/>
        <v>0</v>
      </c>
      <c r="L53" s="55">
        <f t="shared" si="8"/>
        <v>0</v>
      </c>
    </row>
    <row r="54" spans="1:15" ht="15.5" thickBot="1" x14ac:dyDescent="0.4">
      <c r="B54" s="105" t="s">
        <v>30</v>
      </c>
      <c r="C54" s="55">
        <f>SUM(C53)</f>
        <v>0</v>
      </c>
      <c r="D54" s="55">
        <f>SUM(D53+C54)</f>
        <v>0</v>
      </c>
      <c r="E54" s="55">
        <f>SUM(E53+D54)</f>
        <v>0</v>
      </c>
      <c r="F54" s="55">
        <f t="shared" ref="F54:L54" si="9">SUM(F53+E54)</f>
        <v>0</v>
      </c>
      <c r="G54" s="55">
        <f t="shared" si="9"/>
        <v>0</v>
      </c>
      <c r="H54" s="55">
        <f t="shared" si="9"/>
        <v>0</v>
      </c>
      <c r="I54" s="55">
        <f t="shared" si="9"/>
        <v>0</v>
      </c>
      <c r="J54" s="55">
        <f t="shared" si="9"/>
        <v>0</v>
      </c>
      <c r="K54" s="55">
        <f t="shared" si="9"/>
        <v>0</v>
      </c>
      <c r="L54" s="55">
        <f t="shared" si="9"/>
        <v>0</v>
      </c>
    </row>
    <row r="55" spans="1:15" x14ac:dyDescent="0.35">
      <c r="B55" s="89"/>
    </row>
    <row r="56" spans="1:15" x14ac:dyDescent="0.35">
      <c r="B56" s="89"/>
      <c r="I56" s="56"/>
      <c r="J56" s="56"/>
      <c r="K56" s="56"/>
      <c r="L56" s="56"/>
      <c r="M56" s="56"/>
      <c r="N56" s="56"/>
      <c r="O56" s="56"/>
    </row>
    <row r="57" spans="1:15" x14ac:dyDescent="0.35">
      <c r="A57" s="106"/>
      <c r="I57" s="56"/>
      <c r="J57" s="56"/>
      <c r="K57" s="56"/>
      <c r="L57" s="56"/>
      <c r="M57" s="56"/>
      <c r="N57" s="56"/>
      <c r="O57" s="56"/>
    </row>
    <row r="58" spans="1:15" x14ac:dyDescent="0.3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</row>
    <row r="59" spans="1:15" x14ac:dyDescent="0.3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</row>
    <row r="60" spans="1:15" x14ac:dyDescent="0.3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</row>
    <row r="61" spans="1:15" x14ac:dyDescent="0.3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</row>
    <row r="62" spans="1:15" x14ac:dyDescent="0.3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</row>
    <row r="63" spans="1:15" x14ac:dyDescent="0.3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</row>
    <row r="64" spans="1:15" x14ac:dyDescent="0.3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</row>
    <row r="65" spans="1:15" x14ac:dyDescent="0.3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</row>
    <row r="66" spans="1:15" x14ac:dyDescent="0.3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</row>
    <row r="67" spans="1:15" x14ac:dyDescent="0.3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</row>
    <row r="68" spans="1:15" x14ac:dyDescent="0.3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</row>
    <row r="69" spans="1:15" x14ac:dyDescent="0.3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</row>
    <row r="70" spans="1:15" x14ac:dyDescent="0.3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</row>
    <row r="71" spans="1:15" x14ac:dyDescent="0.3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</row>
    <row r="72" spans="1:15" x14ac:dyDescent="0.3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</row>
    <row r="73" spans="1:15" x14ac:dyDescent="0.3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</row>
    <row r="74" spans="1:15" x14ac:dyDescent="0.3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</row>
    <row r="75" spans="1:15" x14ac:dyDescent="0.3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</row>
    <row r="76" spans="1:15" x14ac:dyDescent="0.3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</row>
    <row r="77" spans="1:15" x14ac:dyDescent="0.3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</row>
    <row r="78" spans="1:15" x14ac:dyDescent="0.3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</row>
    <row r="79" spans="1:15" x14ac:dyDescent="0.3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</row>
    <row r="80" spans="1:15" x14ac:dyDescent="0.3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</row>
    <row r="81" spans="1:15" x14ac:dyDescent="0.35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</row>
    <row r="82" spans="1:15" x14ac:dyDescent="0.35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</row>
    <row r="83" spans="1:15" x14ac:dyDescent="0.35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</row>
    <row r="84" spans="1:15" x14ac:dyDescent="0.35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</row>
    <row r="85" spans="1:15" x14ac:dyDescent="0.3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</row>
    <row r="86" spans="1:15" x14ac:dyDescent="0.35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</row>
    <row r="87" spans="1:15" x14ac:dyDescent="0.35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</row>
    <row r="88" spans="1:15" x14ac:dyDescent="0.35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</row>
    <row r="89" spans="1:15" x14ac:dyDescent="0.35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</row>
    <row r="90" spans="1:15" x14ac:dyDescent="0.35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</row>
    <row r="91" spans="1:15" x14ac:dyDescent="0.35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</row>
    <row r="92" spans="1:15" x14ac:dyDescent="0.35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</row>
    <row r="93" spans="1:15" x14ac:dyDescent="0.35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</row>
    <row r="94" spans="1:15" x14ac:dyDescent="0.35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</row>
    <row r="95" spans="1:15" x14ac:dyDescent="0.3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</row>
    <row r="96" spans="1:15" x14ac:dyDescent="0.35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</row>
    <row r="97" spans="1:15" x14ac:dyDescent="0.35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</row>
    <row r="98" spans="1:15" x14ac:dyDescent="0.35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</row>
    <row r="99" spans="1:15" x14ac:dyDescent="0.35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</row>
    <row r="100" spans="1:15" x14ac:dyDescent="0.35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</row>
    <row r="101" spans="1:15" x14ac:dyDescent="0.35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</row>
    <row r="102" spans="1:15" x14ac:dyDescent="0.35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</row>
    <row r="103" spans="1:15" x14ac:dyDescent="0.3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</row>
    <row r="104" spans="1:15" x14ac:dyDescent="0.3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</row>
    <row r="105" spans="1:15" x14ac:dyDescent="0.3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</row>
    <row r="106" spans="1:15" x14ac:dyDescent="0.3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</row>
    <row r="107" spans="1:15" x14ac:dyDescent="0.35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</row>
    <row r="108" spans="1:15" x14ac:dyDescent="0.35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</row>
    <row r="109" spans="1:15" x14ac:dyDescent="0.35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</row>
    <row r="110" spans="1:15" x14ac:dyDescent="0.3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</row>
    <row r="111" spans="1:15" x14ac:dyDescent="0.35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</row>
    <row r="112" spans="1:15" x14ac:dyDescent="0.35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</row>
    <row r="113" spans="1:15" x14ac:dyDescent="0.35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</row>
    <row r="114" spans="1:15" x14ac:dyDescent="0.35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</row>
    <row r="115" spans="1:15" x14ac:dyDescent="0.3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</row>
    <row r="116" spans="1:15" x14ac:dyDescent="0.35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</row>
    <row r="117" spans="1:15" x14ac:dyDescent="0.35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</row>
    <row r="118" spans="1:15" x14ac:dyDescent="0.35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</row>
    <row r="119" spans="1:15" x14ac:dyDescent="0.35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</row>
    <row r="120" spans="1:15" x14ac:dyDescent="0.35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</row>
    <row r="121" spans="1:15" x14ac:dyDescent="0.35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</row>
    <row r="122" spans="1:15" x14ac:dyDescent="0.35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</row>
    <row r="123" spans="1:15" x14ac:dyDescent="0.35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</row>
    <row r="124" spans="1:15" x14ac:dyDescent="0.35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</row>
    <row r="125" spans="1:15" x14ac:dyDescent="0.3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</row>
    <row r="126" spans="1:15" x14ac:dyDescent="0.35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</row>
    <row r="127" spans="1:15" x14ac:dyDescent="0.35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</row>
    <row r="128" spans="1:15" x14ac:dyDescent="0.35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</row>
    <row r="129" spans="1:15" x14ac:dyDescent="0.35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</row>
    <row r="130" spans="1:15" x14ac:dyDescent="0.35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</row>
    <row r="131" spans="1:15" x14ac:dyDescent="0.35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</row>
    <row r="132" spans="1:15" x14ac:dyDescent="0.35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</row>
    <row r="133" spans="1:15" x14ac:dyDescent="0.35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</row>
    <row r="134" spans="1:15" x14ac:dyDescent="0.3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</row>
    <row r="135" spans="1:15" x14ac:dyDescent="0.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</row>
    <row r="136" spans="1:15" x14ac:dyDescent="0.3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</row>
    <row r="137" spans="1:15" x14ac:dyDescent="0.35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</row>
    <row r="138" spans="1:15" x14ac:dyDescent="0.35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</row>
    <row r="139" spans="1:15" x14ac:dyDescent="0.35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</row>
    <row r="140" spans="1:15" x14ac:dyDescent="0.35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</row>
    <row r="141" spans="1:15" x14ac:dyDescent="0.35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</row>
    <row r="142" spans="1:15" x14ac:dyDescent="0.35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</row>
    <row r="143" spans="1:15" x14ac:dyDescent="0.35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</row>
    <row r="144" spans="1:15" x14ac:dyDescent="0.35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</row>
    <row r="145" spans="1:15" x14ac:dyDescent="0.3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</row>
    <row r="146" spans="1:15" x14ac:dyDescent="0.35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</row>
    <row r="147" spans="1:15" x14ac:dyDescent="0.35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</row>
    <row r="148" spans="1:15" x14ac:dyDescent="0.35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</row>
    <row r="149" spans="1:15" x14ac:dyDescent="0.35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</row>
    <row r="150" spans="1:15" x14ac:dyDescent="0.35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</row>
    <row r="151" spans="1:15" x14ac:dyDescent="0.35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</row>
    <row r="152" spans="1:15" x14ac:dyDescent="0.35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</row>
    <row r="153" spans="1:15" x14ac:dyDescent="0.35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</row>
    <row r="154" spans="1:15" x14ac:dyDescent="0.35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</row>
    <row r="155" spans="1:15" x14ac:dyDescent="0.3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</row>
    <row r="156" spans="1:15" x14ac:dyDescent="0.35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</row>
    <row r="157" spans="1:15" x14ac:dyDescent="0.35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</row>
    <row r="158" spans="1:15" x14ac:dyDescent="0.35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</row>
    <row r="159" spans="1:15" x14ac:dyDescent="0.35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</row>
    <row r="160" spans="1:15" x14ac:dyDescent="0.35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</row>
    <row r="161" spans="1:15" x14ac:dyDescent="0.35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</row>
    <row r="162" spans="1:15" x14ac:dyDescent="0.35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</row>
    <row r="163" spans="1:15" x14ac:dyDescent="0.35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</row>
    <row r="164" spans="1:15" x14ac:dyDescent="0.35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</row>
    <row r="165" spans="1:15" x14ac:dyDescent="0.3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</row>
    <row r="166" spans="1:15" x14ac:dyDescent="0.35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</row>
    <row r="167" spans="1:15" x14ac:dyDescent="0.35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</row>
    <row r="168" spans="1:15" x14ac:dyDescent="0.35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</row>
    <row r="169" spans="1:15" x14ac:dyDescent="0.35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</row>
    <row r="170" spans="1:15" x14ac:dyDescent="0.35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</row>
    <row r="171" spans="1:15" x14ac:dyDescent="0.35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</row>
    <row r="172" spans="1:15" x14ac:dyDescent="0.35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</row>
    <row r="173" spans="1:15" x14ac:dyDescent="0.35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</row>
    <row r="174" spans="1:15" x14ac:dyDescent="0.35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</row>
    <row r="175" spans="1:15" x14ac:dyDescent="0.3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</row>
    <row r="176" spans="1:15" x14ac:dyDescent="0.35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</row>
    <row r="177" spans="1:15" x14ac:dyDescent="0.35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</row>
    <row r="178" spans="1:15" x14ac:dyDescent="0.35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</row>
    <row r="179" spans="1:15" x14ac:dyDescent="0.35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</row>
    <row r="180" spans="1:15" x14ac:dyDescent="0.35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</row>
    <row r="181" spans="1:15" x14ac:dyDescent="0.35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</row>
    <row r="182" spans="1:15" x14ac:dyDescent="0.35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</row>
    <row r="183" spans="1:15" x14ac:dyDescent="0.35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</row>
    <row r="184" spans="1:15" x14ac:dyDescent="0.35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</row>
    <row r="185" spans="1:15" x14ac:dyDescent="0.3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</row>
    <row r="186" spans="1:15" x14ac:dyDescent="0.35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</row>
    <row r="187" spans="1:15" x14ac:dyDescent="0.35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</row>
    <row r="188" spans="1:15" x14ac:dyDescent="0.35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</row>
    <row r="189" spans="1:15" x14ac:dyDescent="0.35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</row>
    <row r="190" spans="1:15" x14ac:dyDescent="0.35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</row>
    <row r="191" spans="1:15" x14ac:dyDescent="0.35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</row>
    <row r="192" spans="1:15" x14ac:dyDescent="0.35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</row>
    <row r="193" spans="1:15" x14ac:dyDescent="0.35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</row>
    <row r="194" spans="1:15" x14ac:dyDescent="0.35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</row>
    <row r="195" spans="1:15" x14ac:dyDescent="0.3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</row>
    <row r="196" spans="1:15" x14ac:dyDescent="0.35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</row>
    <row r="197" spans="1:15" x14ac:dyDescent="0.35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</row>
    <row r="198" spans="1:15" x14ac:dyDescent="0.35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</row>
    <row r="199" spans="1:15" x14ac:dyDescent="0.35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</row>
    <row r="200" spans="1:15" x14ac:dyDescent="0.35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</row>
    <row r="201" spans="1:15" x14ac:dyDescent="0.35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</row>
    <row r="202" spans="1:15" x14ac:dyDescent="0.35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</row>
    <row r="203" spans="1:15" x14ac:dyDescent="0.35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</row>
    <row r="204" spans="1:15" x14ac:dyDescent="0.35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</row>
    <row r="205" spans="1:15" x14ac:dyDescent="0.3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</row>
    <row r="206" spans="1:15" x14ac:dyDescent="0.35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</row>
    <row r="207" spans="1:15" x14ac:dyDescent="0.35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</row>
    <row r="208" spans="1:15" x14ac:dyDescent="0.35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</row>
    <row r="209" spans="1:15" x14ac:dyDescent="0.35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</row>
    <row r="210" spans="1:15" x14ac:dyDescent="0.35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</row>
    <row r="211" spans="1:15" x14ac:dyDescent="0.35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</row>
    <row r="212" spans="1:15" x14ac:dyDescent="0.35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</row>
    <row r="213" spans="1:15" x14ac:dyDescent="0.35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</row>
    <row r="214" spans="1:15" x14ac:dyDescent="0.35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</row>
    <row r="215" spans="1:15" x14ac:dyDescent="0.3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</row>
    <row r="216" spans="1:15" x14ac:dyDescent="0.35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</row>
    <row r="217" spans="1:15" x14ac:dyDescent="0.35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</row>
    <row r="218" spans="1:15" x14ac:dyDescent="0.35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</row>
    <row r="219" spans="1:15" x14ac:dyDescent="0.35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</row>
    <row r="220" spans="1:15" x14ac:dyDescent="0.35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</row>
    <row r="221" spans="1:15" x14ac:dyDescent="0.35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</row>
    <row r="222" spans="1:15" x14ac:dyDescent="0.35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</row>
    <row r="223" spans="1:15" x14ac:dyDescent="0.35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</row>
    <row r="224" spans="1:15" x14ac:dyDescent="0.35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</row>
    <row r="225" spans="1:15" x14ac:dyDescent="0.3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</row>
    <row r="226" spans="1:15" x14ac:dyDescent="0.35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</row>
    <row r="227" spans="1:15" x14ac:dyDescent="0.35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</row>
    <row r="228" spans="1:15" x14ac:dyDescent="0.35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</row>
    <row r="229" spans="1:15" x14ac:dyDescent="0.35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</row>
    <row r="230" spans="1:15" x14ac:dyDescent="0.35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</row>
    <row r="231" spans="1:15" x14ac:dyDescent="0.35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</row>
    <row r="232" spans="1:15" x14ac:dyDescent="0.35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</row>
    <row r="233" spans="1:15" x14ac:dyDescent="0.35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</row>
    <row r="234" spans="1:15" x14ac:dyDescent="0.35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</row>
    <row r="235" spans="1:15" x14ac:dyDescent="0.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</row>
    <row r="236" spans="1:15" x14ac:dyDescent="0.35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</row>
  </sheetData>
  <mergeCells count="28">
    <mergeCell ref="C3:E3"/>
    <mergeCell ref="F3:H3"/>
    <mergeCell ref="I3:K3"/>
    <mergeCell ref="M15:N15"/>
    <mergeCell ref="K14:N14"/>
    <mergeCell ref="K15:L15"/>
    <mergeCell ref="M25:N25"/>
    <mergeCell ref="K24:L24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K18:L18"/>
    <mergeCell ref="K23:L23"/>
    <mergeCell ref="K25:L25"/>
    <mergeCell ref="C29:L29"/>
    <mergeCell ref="C14:G14"/>
    <mergeCell ref="K19:L19"/>
    <mergeCell ref="K20:L20"/>
    <mergeCell ref="K21:L21"/>
    <mergeCell ref="K22:L22"/>
    <mergeCell ref="K16:L16"/>
    <mergeCell ref="K17:L17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不適合分析</vt:lpstr>
      <vt:lpstr>グラフ用</vt:lpstr>
    </vt:vector>
  </TitlesOfParts>
  <Company>アルパイン株式会社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 さやか Sayaka Kobayashi</dc:creator>
  <cp:lastModifiedBy>nagakura.tatsuya</cp:lastModifiedBy>
  <dcterms:created xsi:type="dcterms:W3CDTF">2023-09-14T04:18:24Z</dcterms:created>
  <dcterms:modified xsi:type="dcterms:W3CDTF">2023-09-27T08:25:40Z</dcterms:modified>
</cp:coreProperties>
</file>